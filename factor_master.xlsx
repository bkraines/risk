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8"/>
  <workbookPr codeName="ThisWorkbook" defaultThemeVersion="202300"/>
  <mc:AlternateContent xmlns:mc="http://schemas.openxmlformats.org/markup-compatibility/2006">
    <mc:Choice Requires="x15">
      <x15ac:absPath xmlns:x15ac="http://schemas.microsoft.com/office/spreadsheetml/2010/11/ac" url="C:\Users\bkrai\Source\risk\"/>
    </mc:Choice>
  </mc:AlternateContent>
  <xr:revisionPtr revIDLastSave="0" documentId="13_ncr:1_{E3EA20C8-F633-4FE5-AFF4-B6F6041E4058}" xr6:coauthVersionLast="47" xr6:coauthVersionMax="47" xr10:uidLastSave="{00000000-0000-0000-0000-000000000000}"/>
  <bookViews>
    <workbookView xWindow="-120" yWindow="-120" windowWidth="29040" windowHeight="17520" firstSheet="11" activeTab="11" xr2:uid="{C31FDC5B-A809-4BFD-99CB-DA02246721F7}"/>
  </bookViews>
  <sheets>
    <sheet name="legacy" sheetId="5" r:id="rId1"/>
    <sheet name="gpt" sheetId="6" r:id="rId2"/>
    <sheet name="data_new" sheetId="7" r:id="rId3"/>
    <sheet name="lior" sheetId="9" r:id="rId4"/>
    <sheet name="read_composites" sheetId="14" r:id="rId5"/>
    <sheet name="risk_parity" sheetId="20" r:id="rId6"/>
    <sheet name="tradewar" sheetId="23" r:id="rId7"/>
    <sheet name="tracking" sheetId="21" r:id="rId8"/>
    <sheet name="yf_desc" sheetId="24" r:id="rId9"/>
    <sheet name="election_fact" sheetId="25" r:id="rId10"/>
    <sheet name="composites" sheetId="13" r:id="rId11"/>
    <sheet name="data" sheetId="3" r:id="rId12"/>
    <sheet name="read_new" sheetId="15" r:id="rId13"/>
    <sheet name="read_tcw" sheetId="17" r:id="rId14"/>
    <sheet name="read_nocomposite" sheetId="19" r:id="rId15"/>
    <sheet name="read" sheetId="12" r:id="rId16"/>
    <sheet name="read_short" sheetId="16" r:id="rId17"/>
    <sheet name="read_old2" sheetId="4" r:id="rId18"/>
    <sheet name="Sheet1" sheetId="2" r:id="rId19"/>
    <sheet name="read_old" sheetId="1" r:id="rId20"/>
    <sheet name="data_old" sheetId="8"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3" l="1" a="1"/>
  <c r="F30" i="3" a="1"/>
  <c r="F31" i="3" a="1"/>
  <c r="O29" i="3"/>
  <c r="O30" i="3"/>
  <c r="O31" i="3"/>
  <c r="P29" i="3" a="1"/>
  <c r="P30" i="3" a="1"/>
  <c r="P31" i="3" a="1"/>
  <c r="Q29" i="3"/>
  <c r="Q30" i="3"/>
  <c r="Q31" i="3"/>
  <c r="R29" i="3"/>
  <c r="R30" i="3"/>
  <c r="R31" i="3"/>
  <c r="S29" i="3"/>
  <c r="S30" i="3"/>
  <c r="S31" i="3"/>
  <c r="E2" i="13" a="1"/>
  <c r="I2" i="13" a="1"/>
  <c r="X2" i="13" a="1"/>
  <c r="P7" i="25" a="1"/>
  <c r="O7" i="25"/>
  <c r="F7" i="25" a="1"/>
  <c r="F99" i="3" a="1"/>
  <c r="O99" i="3"/>
  <c r="Q99" i="3" s="1"/>
  <c r="R99" i="3"/>
  <c r="S99" i="3"/>
  <c r="F27" i="3" a="1"/>
  <c r="O27" i="3"/>
  <c r="P27" i="3" a="1"/>
  <c r="Q27" i="3"/>
  <c r="R27" i="3"/>
  <c r="S27" i="3"/>
  <c r="F103" i="3" a="1"/>
  <c r="F104" i="3" a="1"/>
  <c r="F105" i="3" a="1"/>
  <c r="O103" i="3"/>
  <c r="O104" i="3"/>
  <c r="O105" i="3"/>
  <c r="Q103" i="3"/>
  <c r="Q104" i="3"/>
  <c r="Q105" i="3"/>
  <c r="R103" i="3"/>
  <c r="R104" i="3"/>
  <c r="R105" i="3"/>
  <c r="S103" i="3"/>
  <c r="S104" i="3"/>
  <c r="S105" i="3"/>
  <c r="F25" i="3" a="1"/>
  <c r="F26" i="3" a="1"/>
  <c r="O25" i="3"/>
  <c r="O26" i="3"/>
  <c r="P25" i="3" a="1"/>
  <c r="P26" i="3" a="1"/>
  <c r="Q25" i="3"/>
  <c r="Q26" i="3"/>
  <c r="R25" i="3"/>
  <c r="R26" i="3"/>
  <c r="S25" i="3"/>
  <c r="S26" i="3"/>
  <c r="F21" i="3" a="1"/>
  <c r="F22" i="3" a="1"/>
  <c r="O21" i="3"/>
  <c r="O22" i="3"/>
  <c r="P21" i="3" a="1"/>
  <c r="P22" i="3" a="1"/>
  <c r="Q21" i="3"/>
  <c r="Q22" i="3"/>
  <c r="R21" i="3"/>
  <c r="R22" i="3"/>
  <c r="S21" i="3"/>
  <c r="S22" i="3"/>
  <c r="F77" i="3" a="1"/>
  <c r="O77" i="3"/>
  <c r="P77" i="3" a="1"/>
  <c r="Q77" i="3"/>
  <c r="F78" i="3" a="1"/>
  <c r="O78" i="3"/>
  <c r="P78" i="3" a="1"/>
  <c r="F79" i="3" a="1"/>
  <c r="O79" i="3"/>
  <c r="P79" i="3" a="1"/>
  <c r="F74" i="3" a="1"/>
  <c r="F75" i="3" a="1"/>
  <c r="O74" i="3"/>
  <c r="S74" i="3" s="1"/>
  <c r="O75" i="3"/>
  <c r="P74" i="3" a="1"/>
  <c r="P75" i="3" a="1"/>
  <c r="Q74" i="3"/>
  <c r="Q75" i="3"/>
  <c r="R74" i="3"/>
  <c r="F53" i="3" a="1"/>
  <c r="O53" i="3"/>
  <c r="P53" i="3" a="1"/>
  <c r="Q53" i="3"/>
  <c r="R53" i="3"/>
  <c r="S53" i="3"/>
  <c r="F86" i="3" a="1"/>
  <c r="O86" i="3"/>
  <c r="P86" i="3" a="1"/>
  <c r="Q86" i="3"/>
  <c r="R86" i="3"/>
  <c r="S86" i="3"/>
  <c r="F84" i="3" a="1"/>
  <c r="O84" i="3"/>
  <c r="S84" i="3" s="1"/>
  <c r="P84" i="3" a="1"/>
  <c r="Q84" i="3"/>
  <c r="R84" i="3"/>
  <c r="F85" i="3" a="1"/>
  <c r="O85" i="3"/>
  <c r="P85" i="3" a="1"/>
  <c r="Q85" i="3"/>
  <c r="R85" i="3"/>
  <c r="S85" i="3"/>
  <c r="P98" i="3" a="1"/>
  <c r="F98" i="3" a="1"/>
  <c r="O98" i="3"/>
  <c r="P110" i="3" a="1"/>
  <c r="F110" i="3" a="1"/>
  <c r="Q110" i="3"/>
  <c r="R110" i="3"/>
  <c r="S110" i="3"/>
  <c r="P109" i="3" a="1"/>
  <c r="F109" i="3" a="1"/>
  <c r="Q109" i="3"/>
  <c r="R109" i="3"/>
  <c r="S109" i="3"/>
  <c r="S108" i="3"/>
  <c r="R108" i="3"/>
  <c r="Q108" i="3"/>
  <c r="P108" i="3" a="1"/>
  <c r="H57" i="3"/>
  <c r="P57" i="3" s="1" a="1"/>
  <c r="H58" i="3"/>
  <c r="P58" i="3" s="1" a="1"/>
  <c r="H59" i="3"/>
  <c r="P59" i="3" s="1" a="1"/>
  <c r="H56" i="3"/>
  <c r="P56" i="3" s="1" a="1"/>
  <c r="V36" i="13" a="1"/>
  <c r="Q36" i="13" a="1"/>
  <c r="X90" i="3" a="1"/>
  <c r="P2" i="3" a="1"/>
  <c r="P3" i="3" a="1"/>
  <c r="P4" i="3" a="1"/>
  <c r="P5" i="3" a="1"/>
  <c r="P6" i="3" a="1"/>
  <c r="P7" i="3" a="1"/>
  <c r="P8" i="3" a="1"/>
  <c r="P9" i="3" a="1"/>
  <c r="P10" i="3" a="1"/>
  <c r="P11" i="3" a="1"/>
  <c r="P12" i="3" a="1"/>
  <c r="P13" i="3" a="1"/>
  <c r="P14" i="3" a="1"/>
  <c r="P15" i="3" a="1"/>
  <c r="P16" i="3" a="1"/>
  <c r="P17" i="3" a="1"/>
  <c r="P18" i="3" a="1"/>
  <c r="P19" i="3" a="1"/>
  <c r="P20" i="3" a="1"/>
  <c r="P23" i="3" a="1"/>
  <c r="P24" i="3" a="1"/>
  <c r="P28" i="3" a="1"/>
  <c r="P32" i="3" a="1"/>
  <c r="P33" i="3" a="1"/>
  <c r="P34" i="3" a="1"/>
  <c r="P35" i="3" a="1"/>
  <c r="P36" i="3" a="1"/>
  <c r="P37" i="3" a="1"/>
  <c r="P38" i="3" a="1"/>
  <c r="P39" i="3" a="1"/>
  <c r="P40" i="3" a="1"/>
  <c r="P41" i="3" a="1"/>
  <c r="P42" i="3" a="1"/>
  <c r="P43" i="3" a="1"/>
  <c r="P44" i="3" a="1"/>
  <c r="P45" i="3" a="1"/>
  <c r="P46" i="3" a="1"/>
  <c r="P47" i="3" a="1"/>
  <c r="P48" i="3" a="1"/>
  <c r="P49" i="3" a="1"/>
  <c r="P50" i="3" a="1"/>
  <c r="P51" i="3" a="1"/>
  <c r="P52" i="3" a="1"/>
  <c r="P54" i="3" a="1"/>
  <c r="P55" i="3" a="1"/>
  <c r="P60" i="3" a="1"/>
  <c r="P61" i="3" a="1"/>
  <c r="P62" i="3" a="1"/>
  <c r="P63" i="3" a="1"/>
  <c r="P64" i="3" a="1"/>
  <c r="P65" i="3" a="1"/>
  <c r="P66" i="3" a="1"/>
  <c r="P67" i="3" a="1"/>
  <c r="P68" i="3" a="1"/>
  <c r="P69" i="3" a="1"/>
  <c r="P70" i="3" a="1"/>
  <c r="P71" i="3" a="1"/>
  <c r="P72" i="3" a="1"/>
  <c r="P73" i="3" a="1"/>
  <c r="P76" i="3" a="1"/>
  <c r="P80" i="3" a="1"/>
  <c r="P81" i="3" a="1"/>
  <c r="P82" i="3" a="1"/>
  <c r="P87" i="3" a="1"/>
  <c r="P83" i="3" a="1"/>
  <c r="P88" i="3" a="1"/>
  <c r="P89" i="3" a="1"/>
  <c r="P90" i="3" a="1"/>
  <c r="P91" i="3" a="1"/>
  <c r="P92" i="3" a="1"/>
  <c r="P93" i="3" a="1"/>
  <c r="P94" i="3" a="1"/>
  <c r="P95" i="3" a="1"/>
  <c r="P96" i="3" a="1"/>
  <c r="P97" i="3" a="1"/>
  <c r="A2" i="23"/>
  <c r="F2" i="3" a="1"/>
  <c r="F3" i="3" a="1"/>
  <c r="F4" i="3" a="1"/>
  <c r="F5" i="3" a="1"/>
  <c r="F6" i="3" a="1"/>
  <c r="F7" i="3" a="1"/>
  <c r="F8" i="3" a="1"/>
  <c r="F9" i="3" a="1"/>
  <c r="F10" i="3" a="1"/>
  <c r="F11" i="3" a="1"/>
  <c r="F12" i="3" a="1"/>
  <c r="F13" i="3" a="1"/>
  <c r="F14" i="3" a="1"/>
  <c r="F15" i="3" a="1"/>
  <c r="F16" i="3" a="1"/>
  <c r="F17" i="3" a="1"/>
  <c r="F18" i="3" a="1"/>
  <c r="F19" i="3" a="1"/>
  <c r="F20" i="3" a="1"/>
  <c r="F23" i="3" a="1"/>
  <c r="F24" i="3" a="1"/>
  <c r="F28" i="3" a="1"/>
  <c r="F32" i="3" a="1"/>
  <c r="F33" i="3" a="1"/>
  <c r="F34" i="3" a="1"/>
  <c r="F35" i="3" a="1"/>
  <c r="F36" i="3" a="1"/>
  <c r="F37" i="3" a="1"/>
  <c r="F38" i="3" a="1"/>
  <c r="F39" i="3" a="1"/>
  <c r="F40" i="3" a="1"/>
  <c r="F41" i="3" a="1"/>
  <c r="F42" i="3" a="1"/>
  <c r="F43" i="3" a="1"/>
  <c r="F44" i="3" a="1"/>
  <c r="F45" i="3" a="1"/>
  <c r="F46" i="3" a="1"/>
  <c r="F47" i="3" a="1"/>
  <c r="F48" i="3" a="1"/>
  <c r="F49" i="3" a="1"/>
  <c r="F50" i="3" a="1"/>
  <c r="F51" i="3" a="1"/>
  <c r="F52" i="3" a="1"/>
  <c r="F54" i="3" a="1"/>
  <c r="F55" i="3" a="1"/>
  <c r="F56" i="3" a="1"/>
  <c r="F57" i="3" a="1"/>
  <c r="F58" i="3" a="1"/>
  <c r="F59" i="3" a="1"/>
  <c r="F60" i="3" a="1"/>
  <c r="F61" i="3" a="1"/>
  <c r="F62" i="3" a="1"/>
  <c r="F63" i="3" a="1"/>
  <c r="F64" i="3" a="1"/>
  <c r="F65" i="3" a="1"/>
  <c r="F66" i="3" a="1"/>
  <c r="F67" i="3" a="1"/>
  <c r="F68" i="3" a="1"/>
  <c r="F69" i="3" a="1"/>
  <c r="F70" i="3" a="1"/>
  <c r="F71" i="3" a="1"/>
  <c r="F72" i="3" a="1"/>
  <c r="F73" i="3" a="1"/>
  <c r="F76" i="3" a="1"/>
  <c r="F80" i="3" a="1"/>
  <c r="F81" i="3" a="1"/>
  <c r="F82" i="3" a="1"/>
  <c r="F87" i="3" a="1"/>
  <c r="F83" i="3" a="1"/>
  <c r="F88" i="3" a="1"/>
  <c r="F89" i="3" a="1"/>
  <c r="F90" i="3" a="1"/>
  <c r="F91" i="3" a="1"/>
  <c r="F92" i="3" a="1"/>
  <c r="F93" i="3" a="1"/>
  <c r="F94" i="3" a="1"/>
  <c r="F95" i="3" a="1"/>
  <c r="F96" i="3" a="1"/>
  <c r="F97" i="3" a="1"/>
  <c r="F100" i="3" a="1"/>
  <c r="F101" i="3" a="1"/>
  <c r="F102" i="3" a="1"/>
  <c r="F106" i="3" a="1"/>
  <c r="F107" i="3" a="1"/>
  <c r="A2" i="21" a="1"/>
  <c r="F1" i="20"/>
  <c r="B1" i="20" a="1"/>
  <c r="B1" i="16" a="1"/>
  <c r="C15" i="13" a="1"/>
  <c r="C16" i="13"/>
  <c r="C17" i="13"/>
  <c r="C18" i="13"/>
  <c r="C19" i="13"/>
  <c r="C20" i="13" s="1"/>
  <c r="B19" i="13"/>
  <c r="B20" i="13"/>
  <c r="O107" i="3"/>
  <c r="O39" i="13"/>
  <c r="C41" i="13" s="1"/>
  <c r="C39" i="13"/>
  <c r="C40" i="13"/>
  <c r="C38" i="13"/>
  <c r="O83" i="3"/>
  <c r="O91" i="3"/>
  <c r="O89" i="3"/>
  <c r="O80" i="3"/>
  <c r="O51" i="3"/>
  <c r="A2" i="19" a="1"/>
  <c r="A2" i="12" a="1"/>
  <c r="A2" i="16" s="1" a="1"/>
  <c r="A2" i="17" a="1"/>
  <c r="A1" i="16"/>
  <c r="O96" i="3"/>
  <c r="O95" i="3"/>
  <c r="O94" i="3"/>
  <c r="O93" i="3"/>
  <c r="O92" i="3"/>
  <c r="O88" i="3"/>
  <c r="O90" i="3"/>
  <c r="O55" i="3"/>
  <c r="O2" i="3"/>
  <c r="O3" i="3"/>
  <c r="O4" i="3"/>
  <c r="O5" i="3"/>
  <c r="O6" i="3"/>
  <c r="O7" i="3"/>
  <c r="O8" i="3"/>
  <c r="O9" i="3"/>
  <c r="O10" i="3"/>
  <c r="O11" i="3"/>
  <c r="O12" i="3"/>
  <c r="O13" i="3"/>
  <c r="O14" i="3"/>
  <c r="O15" i="3"/>
  <c r="O16" i="3"/>
  <c r="O17" i="3"/>
  <c r="O18" i="3"/>
  <c r="O19" i="3"/>
  <c r="O20" i="3"/>
  <c r="O23" i="3"/>
  <c r="O24" i="3"/>
  <c r="O28" i="3"/>
  <c r="O32" i="3"/>
  <c r="O33" i="3"/>
  <c r="O34" i="3"/>
  <c r="O35" i="3"/>
  <c r="O36" i="3"/>
  <c r="O37" i="3"/>
  <c r="O38" i="3"/>
  <c r="O39" i="3"/>
  <c r="O40" i="3"/>
  <c r="O41" i="3"/>
  <c r="O42" i="3"/>
  <c r="O43" i="3"/>
  <c r="O44" i="3"/>
  <c r="O45" i="3"/>
  <c r="O46" i="3"/>
  <c r="O47" i="3"/>
  <c r="O48" i="3"/>
  <c r="O49" i="3"/>
  <c r="O50" i="3"/>
  <c r="O52" i="3"/>
  <c r="O54" i="3"/>
  <c r="O56" i="3"/>
  <c r="O57" i="3"/>
  <c r="O58" i="3"/>
  <c r="O59" i="3"/>
  <c r="O60" i="3"/>
  <c r="O61" i="3"/>
  <c r="O62" i="3"/>
  <c r="O63" i="3"/>
  <c r="O64" i="3"/>
  <c r="O65" i="3"/>
  <c r="O66" i="3"/>
  <c r="O67" i="3"/>
  <c r="O68" i="3"/>
  <c r="O69" i="3"/>
  <c r="O70" i="3"/>
  <c r="O71" i="3"/>
  <c r="O72" i="3"/>
  <c r="O73" i="3"/>
  <c r="O76" i="3"/>
  <c r="O81" i="3"/>
  <c r="O82" i="3"/>
  <c r="O87" i="3"/>
  <c r="O97" i="3"/>
  <c r="O100" i="3"/>
  <c r="O101" i="3"/>
  <c r="O102" i="3"/>
  <c r="O106" i="3"/>
  <c r="C11" i="13"/>
  <c r="Z15" i="13"/>
  <c r="A1" i="14" a="1"/>
  <c r="A2" i="4" a="1"/>
  <c r="A12" i="9" a="1"/>
  <c r="D1" i="9" s="1" a="1"/>
  <c r="B1" i="9" a="1"/>
  <c r="A5" i="7" a="1"/>
  <c r="C60" i="8" a="1"/>
  <c r="D60" i="8" s="1" a="1"/>
  <c r="D49" i="8" a="1"/>
  <c r="F49" i="8" s="1" a="1"/>
  <c r="I45" i="8"/>
  <c r="I44" i="8"/>
  <c r="I43" i="8"/>
  <c r="I42" i="8"/>
  <c r="I41" i="8"/>
  <c r="I40" i="8"/>
  <c r="I39" i="8"/>
  <c r="I38" i="8"/>
  <c r="I37" i="8"/>
  <c r="I36" i="8"/>
  <c r="I35" i="8"/>
  <c r="I34" i="8"/>
  <c r="I33" i="8"/>
  <c r="I32" i="8"/>
  <c r="I31" i="8"/>
  <c r="I30" i="8"/>
  <c r="I28" i="8"/>
  <c r="I27" i="8"/>
  <c r="I26" i="8"/>
  <c r="I25" i="8"/>
  <c r="I24" i="8"/>
  <c r="I23" i="8"/>
  <c r="I22" i="8"/>
  <c r="I21" i="8"/>
  <c r="I20" i="8"/>
  <c r="I19" i="8"/>
  <c r="I18" i="8"/>
  <c r="I17" i="8"/>
  <c r="I16" i="8"/>
  <c r="I15" i="8"/>
  <c r="I14" i="8"/>
  <c r="I13" i="8"/>
  <c r="I12" i="8"/>
  <c r="I11" i="8"/>
  <c r="I10" i="8"/>
  <c r="I9" i="8"/>
  <c r="I8" i="8"/>
  <c r="I7" i="8"/>
  <c r="I6" i="8"/>
  <c r="I5" i="8"/>
  <c r="I4" i="8"/>
  <c r="I3" i="8"/>
  <c r="M2" i="8" a="1"/>
  <c r="I2" i="8"/>
  <c r="F5" i="7" a="1"/>
  <c r="N5" i="7" a="1"/>
  <c r="M5" i="7" s="1" a="1"/>
  <c r="E5" i="7" s="1" a="1"/>
  <c r="O5" i="7" a="1"/>
  <c r="H2" i="13" a="1"/>
  <c r="S7" i="25"/>
  <c r="R7" i="25"/>
  <c r="Q7" i="25"/>
  <c r="S98" i="3"/>
  <c r="Q98" i="3"/>
  <c r="R98" i="3"/>
  <c r="S107" i="3"/>
  <c r="R107" i="3"/>
  <c r="Q107" i="3"/>
  <c r="S83" i="3"/>
  <c r="R83" i="3"/>
  <c r="Q83" i="3"/>
  <c r="Q91" i="3"/>
  <c r="R91" i="3"/>
  <c r="S91" i="3"/>
  <c r="S89" i="3"/>
  <c r="R89" i="3"/>
  <c r="Q89" i="3"/>
  <c r="R80" i="3"/>
  <c r="S80" i="3"/>
  <c r="Q80" i="3"/>
  <c r="R51" i="3"/>
  <c r="S51" i="3"/>
  <c r="Q51" i="3"/>
  <c r="Q96" i="3"/>
  <c r="R96" i="3"/>
  <c r="S96" i="3"/>
  <c r="R95" i="3"/>
  <c r="Q95" i="3"/>
  <c r="S95" i="3"/>
  <c r="R94" i="3"/>
  <c r="Q94" i="3"/>
  <c r="S94" i="3"/>
  <c r="S93" i="3"/>
  <c r="R93" i="3"/>
  <c r="Q93" i="3"/>
  <c r="Q92" i="3"/>
  <c r="R92" i="3"/>
  <c r="S92" i="3"/>
  <c r="S88" i="3"/>
  <c r="R88" i="3"/>
  <c r="Q88" i="3"/>
  <c r="S90" i="3"/>
  <c r="Q90" i="3"/>
  <c r="R90" i="3"/>
  <c r="R55" i="3"/>
  <c r="S55" i="3"/>
  <c r="Q55" i="3"/>
  <c r="Q2" i="3"/>
  <c r="R2" i="3"/>
  <c r="S2" i="3"/>
  <c r="S3" i="3"/>
  <c r="Q3" i="3"/>
  <c r="R3" i="3"/>
  <c r="Q4" i="3"/>
  <c r="S4" i="3"/>
  <c r="R4" i="3"/>
  <c r="Q5" i="3"/>
  <c r="R5" i="3"/>
  <c r="S5" i="3"/>
  <c r="Q6" i="3"/>
  <c r="S6" i="3"/>
  <c r="R6" i="3"/>
  <c r="Q7" i="3"/>
  <c r="R7" i="3"/>
  <c r="S7" i="3"/>
  <c r="R8" i="3"/>
  <c r="S8" i="3"/>
  <c r="Q8" i="3"/>
  <c r="Q9" i="3"/>
  <c r="R9" i="3"/>
  <c r="S9" i="3"/>
  <c r="R10" i="3"/>
  <c r="S10" i="3"/>
  <c r="Q10" i="3"/>
  <c r="S11" i="3"/>
  <c r="R11" i="3"/>
  <c r="Q11" i="3"/>
  <c r="S12" i="3"/>
  <c r="R12" i="3"/>
  <c r="Q12" i="3"/>
  <c r="T36" i="13" a="1"/>
  <c r="B1" i="23" a="1"/>
  <c r="W18" i="13" a="1"/>
  <c r="W36" i="13" a="1"/>
  <c r="J2" i="13" a="1"/>
  <c r="A2" i="14" a="1"/>
  <c r="B12" i="9" a="1"/>
  <c r="D5" i="7" l="1" a="1"/>
  <c r="B2" i="16" a="1"/>
  <c r="R77" i="3"/>
  <c r="S77" i="3"/>
  <c r="Q34" i="13" s="1"/>
  <c r="R78" i="3"/>
  <c r="Q78" i="3"/>
  <c r="S78" i="3"/>
  <c r="Q79" i="3"/>
  <c r="S79" i="3"/>
  <c r="R79" i="3"/>
  <c r="S75" i="3"/>
  <c r="R75" i="3"/>
  <c r="S13" i="3"/>
  <c r="Q13" i="3"/>
  <c r="R13" i="3"/>
  <c r="S14" i="3"/>
  <c r="Q14" i="3"/>
  <c r="R14" i="3"/>
  <c r="S15" i="3"/>
  <c r="R15" i="3"/>
  <c r="Q15" i="3"/>
  <c r="S16" i="3"/>
  <c r="R16" i="3"/>
  <c r="Q16" i="3"/>
  <c r="Q17" i="3"/>
  <c r="S17" i="3"/>
  <c r="R17" i="3"/>
  <c r="Q18" i="3"/>
  <c r="S18" i="3"/>
  <c r="R18" i="3"/>
  <c r="S19" i="3"/>
  <c r="R19" i="3"/>
  <c r="Q19" i="3"/>
  <c r="S20" i="3"/>
  <c r="R20" i="3"/>
  <c r="Q20" i="3"/>
  <c r="S23" i="3"/>
  <c r="Q23" i="3"/>
  <c r="R23" i="3"/>
  <c r="S24" i="3"/>
  <c r="R24" i="3"/>
  <c r="Q24" i="3"/>
  <c r="S28" i="3"/>
  <c r="Q28" i="3"/>
  <c r="R28" i="3"/>
  <c r="S32" i="3"/>
  <c r="R32" i="3"/>
  <c r="Q32" i="3"/>
  <c r="Q33" i="3"/>
  <c r="S33" i="3"/>
  <c r="R33" i="3"/>
  <c r="R34" i="3"/>
  <c r="S34" i="3"/>
  <c r="Q34" i="3"/>
  <c r="S35" i="3"/>
  <c r="R35" i="3"/>
  <c r="Q35" i="3"/>
  <c r="S36" i="3"/>
  <c r="R36" i="3"/>
  <c r="Q36" i="3"/>
  <c r="Q37" i="3"/>
  <c r="R37" i="3"/>
  <c r="S37" i="3"/>
  <c r="R38" i="3"/>
  <c r="S38" i="3"/>
  <c r="Q38" i="3"/>
  <c r="Q39" i="3"/>
  <c r="R39" i="3"/>
  <c r="S39" i="3"/>
  <c r="Q40" i="3"/>
  <c r="R40" i="3"/>
  <c r="S40" i="3"/>
  <c r="Q41" i="3"/>
  <c r="R41" i="3"/>
  <c r="S41" i="3"/>
  <c r="R42" i="3"/>
  <c r="Q42" i="3"/>
  <c r="S42" i="3"/>
  <c r="R43" i="3"/>
  <c r="S43" i="3"/>
  <c r="Q43" i="3"/>
  <c r="S44" i="3"/>
  <c r="Q44" i="3"/>
  <c r="R44" i="3"/>
  <c r="S45" i="3"/>
  <c r="Q45" i="3"/>
  <c r="R45" i="3"/>
  <c r="Q46" i="3"/>
  <c r="R46" i="3"/>
  <c r="S46" i="3"/>
  <c r="S47" i="3"/>
  <c r="Q47" i="3"/>
  <c r="R47" i="3"/>
  <c r="S48" i="3"/>
  <c r="Q48" i="3"/>
  <c r="R48" i="3"/>
  <c r="R49" i="3"/>
  <c r="S49" i="3"/>
  <c r="Q49" i="3"/>
  <c r="R50" i="3"/>
  <c r="S50" i="3"/>
  <c r="Q50" i="3"/>
  <c r="S52" i="3"/>
  <c r="R52" i="3"/>
  <c r="Q52" i="3"/>
  <c r="S54" i="3"/>
  <c r="R54" i="3"/>
  <c r="Q54" i="3"/>
  <c r="Q56" i="3"/>
  <c r="R56" i="3"/>
  <c r="S56" i="3"/>
  <c r="R57" i="3"/>
  <c r="Q57" i="3"/>
  <c r="S57" i="3"/>
  <c r="Q58" i="3"/>
  <c r="S58" i="3"/>
  <c r="R58" i="3"/>
  <c r="R59" i="3"/>
  <c r="Q59" i="3"/>
  <c r="S59" i="3"/>
  <c r="R60" i="3"/>
  <c r="Q60" i="3"/>
  <c r="S60" i="3"/>
  <c r="S61" i="3"/>
  <c r="Q61" i="3"/>
  <c r="R61" i="3"/>
  <c r="S62" i="3"/>
  <c r="Q62" i="3"/>
  <c r="R62" i="3"/>
  <c r="S63" i="3"/>
  <c r="Q63" i="3"/>
  <c r="R63" i="3"/>
  <c r="S64" i="3"/>
  <c r="R64" i="3"/>
  <c r="Q64" i="3"/>
  <c r="S65" i="3"/>
  <c r="Q65" i="3"/>
  <c r="R65" i="3"/>
  <c r="S66" i="3"/>
  <c r="R66" i="3"/>
  <c r="Q66" i="3"/>
  <c r="S67" i="3"/>
  <c r="R67" i="3"/>
  <c r="Q67" i="3"/>
  <c r="S68" i="3"/>
  <c r="R68" i="3"/>
  <c r="Q68" i="3"/>
  <c r="R69" i="3"/>
  <c r="Q69" i="3"/>
  <c r="S69" i="3"/>
  <c r="R70" i="3"/>
  <c r="S70" i="3"/>
  <c r="Q70" i="3"/>
  <c r="S71" i="3"/>
  <c r="Q71" i="3"/>
  <c r="R71" i="3"/>
  <c r="Q72" i="3"/>
  <c r="S72" i="3"/>
  <c r="R72" i="3"/>
  <c r="R73" i="3"/>
  <c r="S73" i="3"/>
  <c r="Q73" i="3"/>
  <c r="S76" i="3"/>
  <c r="R76" i="3"/>
  <c r="Q76" i="3"/>
  <c r="Q81" i="3"/>
  <c r="R81" i="3"/>
  <c r="S81" i="3"/>
  <c r="R82" i="3"/>
  <c r="S82" i="3"/>
  <c r="Q82" i="3"/>
  <c r="R87" i="3"/>
  <c r="Q87" i="3"/>
  <c r="S87" i="3"/>
  <c r="Q97" i="3"/>
  <c r="R97" i="3"/>
  <c r="S97" i="3"/>
  <c r="R100" i="3"/>
  <c r="S100" i="3"/>
  <c r="Q100" i="3"/>
  <c r="S101" i="3"/>
  <c r="Q101" i="3"/>
  <c r="R101" i="3"/>
  <c r="Q102" i="3"/>
  <c r="R102" i="3"/>
  <c r="S102" i="3"/>
  <c r="R106" i="3"/>
  <c r="S106" i="3"/>
  <c r="Q106" i="3"/>
  <c r="B2" i="19" a="1"/>
  <c r="B2" i="4" s="1" a="1"/>
  <c r="J7" i="25" a="1"/>
  <c r="J100" i="3" s="1" a="1"/>
  <c r="P100" i="3" s="1" a="1"/>
  <c r="J99" i="3" a="1"/>
  <c r="P99" i="3" s="1" a="1"/>
  <c r="J103" i="3" a="1"/>
  <c r="P103" i="3" s="1" a="1"/>
  <c r="J104" i="3" a="1"/>
  <c r="P104" i="3" s="1" a="1"/>
  <c r="J105" i="3" a="1"/>
  <c r="P105" i="3" s="1" a="1"/>
  <c r="J101" i="3" a="1"/>
  <c r="P101" i="3" s="1" a="1"/>
  <c r="J102" i="3" a="1"/>
  <c r="P102" i="3" s="1" a="1"/>
  <c r="J106" i="3" a="1"/>
  <c r="P106" i="3" s="1" a="1"/>
  <c r="J107" i="3" a="1"/>
  <c r="P107" i="3" s="1" a="1"/>
  <c r="B2" i="12" l="1" a="1"/>
  <c r="B2" i="17"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<sst xmlns="http://schemas.openxmlformats.org/spreadsheetml/2006/main" count="2613" uniqueCount="738">
  <si>
    <t>SPX</t>
  </si>
  <si>
    <t>RTY</t>
  </si>
  <si>
    <t>factor_name</t>
  </si>
  <si>
    <t>etf</t>
  </si>
  <si>
    <t>SPY</t>
  </si>
  <si>
    <t>IWM</t>
  </si>
  <si>
    <t>NDX</t>
  </si>
  <si>
    <t>QQQ</t>
  </si>
  <si>
    <t>SX5E</t>
  </si>
  <si>
    <t>IG</t>
  </si>
  <si>
    <t>LQD</t>
  </si>
  <si>
    <t>HY</t>
  </si>
  <si>
    <t>HYG</t>
  </si>
  <si>
    <t>FEZ</t>
  </si>
  <si>
    <t>MBTA</t>
  </si>
  <si>
    <t>AGNC</t>
  </si>
  <si>
    <t>MBS</t>
  </si>
  <si>
    <t>MBS_short</t>
  </si>
  <si>
    <t>active</t>
  </si>
  <si>
    <t>description</t>
  </si>
  <si>
    <t>ETF</t>
  </si>
  <si>
    <t>Description</t>
  </si>
  <si>
    <t>Underlying Index</t>
  </si>
  <si>
    <t>SPDR S&amp;P 500 ETF Trust; tracks the performance of the S&amp;P 500 Index.</t>
  </si>
  <si>
    <t>S&amp;P 500 Index</t>
  </si>
  <si>
    <t>iShares Russell 2000 ETF; provides exposure to small-cap U.S. stocks.</t>
  </si>
  <si>
    <t>Russell 2000 Index</t>
  </si>
  <si>
    <t>Invesco QQQ Trust; focuses on large-cap growth stocks in the Nasdaq-100 Index.</t>
  </si>
  <si>
    <t>Nasdaq-100 Index</t>
  </si>
  <si>
    <t>SPDR EURO STOXX 50 ETF Trust; represents 50 of the largest companies in the Eurozone.</t>
  </si>
  <si>
    <t>EURO STOXX 50 Index</t>
  </si>
  <si>
    <t>iShares iBoxx $ Investment Grade Corporate Bond ETF; invests in U.S. dollar-denominated, investment-grade corporate bonds.</t>
  </si>
  <si>
    <t>Markit iBoxx USD Liquid Investment Grade Index</t>
  </si>
  <si>
    <t>iShares iBoxx $ High Yield Corporate Bond ETF; targets U.S. dollar-denominated high yield corporate bonds.</t>
  </si>
  <si>
    <t>Markit iBoxx USD Liquid High Yield Index</t>
  </si>
  <si>
    <t>Invesco Municipal Bond ETF; invests in a diversified portfolio of municipal bonds.</t>
  </si>
  <si>
    <t>S&amp;P National AMT-Free Municipal Bond Index</t>
  </si>
  <si>
    <t>AGNC Investment Corp.; focuses on income-generating investments in mortgage-backed securities.</t>
  </si>
  <si>
    <t>Not an ETF but typically referenced alongside fixed-income investments.</t>
  </si>
  <si>
    <t>Equities</t>
  </si>
  <si>
    <t>USD</t>
  </si>
  <si>
    <t>SPDR S&amp;P 500 ETF Trust</t>
  </si>
  <si>
    <t>iShares Russell 2000 ETF</t>
  </si>
  <si>
    <t>Invesco QQQ Trust</t>
  </si>
  <si>
    <t>DIA</t>
  </si>
  <si>
    <t>SPDR Dow Jones Industrial Average ETF Trust</t>
  </si>
  <si>
    <t>Credit</t>
  </si>
  <si>
    <t>iShares iBoxx $ Investment Grade Corporate Bond ETF</t>
  </si>
  <si>
    <t>iShares iBoxx $ High Yield Corporate Bond ETF</t>
  </si>
  <si>
    <t>TLT</t>
  </si>
  <si>
    <t>iShares 20+ Year Treasury Bond ETF</t>
  </si>
  <si>
    <t>SHY</t>
  </si>
  <si>
    <t>iShares 1-3 Year Treasury Bond ETF</t>
  </si>
  <si>
    <t>MBB</t>
  </si>
  <si>
    <t>iShares MBS ETF</t>
  </si>
  <si>
    <t>AGNC Investment Corp.</t>
  </si>
  <si>
    <t>Commodities</t>
  </si>
  <si>
    <t>GLD</t>
  </si>
  <si>
    <t>SPDR Gold Shares</t>
  </si>
  <si>
    <t>SLV</t>
  </si>
  <si>
    <t>iShares Silver Trust</t>
  </si>
  <si>
    <t>USO</t>
  </si>
  <si>
    <t>United States Oil Fund</t>
  </si>
  <si>
    <t>DBC</t>
  </si>
  <si>
    <t>Invesco DB Commodity Index Tracking Fund</t>
  </si>
  <si>
    <t>Currencies</t>
  </si>
  <si>
    <t>UUP</t>
  </si>
  <si>
    <t>Invesco DB US Dollar Index Bullish Fund</t>
  </si>
  <si>
    <t>EUR</t>
  </si>
  <si>
    <t>FXE</t>
  </si>
  <si>
    <t>Invesco CurrencyShares Euro Trust</t>
  </si>
  <si>
    <t>JPY</t>
  </si>
  <si>
    <t>FXY</t>
  </si>
  <si>
    <t>Invesco CurrencyShares Japanese Yen Trust</t>
  </si>
  <si>
    <t>EM</t>
  </si>
  <si>
    <t>CEW</t>
  </si>
  <si>
    <t>WisdomTree Emerging Markets Local Debt Fund</t>
  </si>
  <si>
    <t>NKY</t>
  </si>
  <si>
    <t>Nikkei 225 ETF</t>
  </si>
  <si>
    <t>CNH</t>
  </si>
  <si>
    <t>FXI</t>
  </si>
  <si>
    <t>iShares China Large-Cap ETF</t>
  </si>
  <si>
    <t>ASHR</t>
  </si>
  <si>
    <t>Xtrackers Harvest CSI 300 China A-Shares ETF</t>
  </si>
  <si>
    <t>DAX</t>
  </si>
  <si>
    <t>Xtrackers DAX Equity ETF</t>
  </si>
  <si>
    <t>EWU</t>
  </si>
  <si>
    <t>iShares FTSE United Kingdom ETF</t>
  </si>
  <si>
    <t>CAD</t>
  </si>
  <si>
    <t>EWC</t>
  </si>
  <si>
    <t>iShares MSCI Canada ETF</t>
  </si>
  <si>
    <t>EWP</t>
  </si>
  <si>
    <t>iShares MSCI Spain ETF</t>
  </si>
  <si>
    <t>EWI</t>
  </si>
  <si>
    <t>iShares MSCI Italy ETF</t>
  </si>
  <si>
    <t>CAC</t>
  </si>
  <si>
    <t>Lyxor CAC 40 ETF</t>
  </si>
  <si>
    <t>EMB</t>
  </si>
  <si>
    <t>iShares J.P. Morgan USD Emerging Markets Bond ETF</t>
  </si>
  <si>
    <t>IGOV</t>
  </si>
  <si>
    <t>iShares International Government Bonds ETF</t>
  </si>
  <si>
    <t>Underlying</t>
  </si>
  <si>
    <t>Dow Jones Industrial Average</t>
  </si>
  <si>
    <t>Investment-grade corporate bonds</t>
  </si>
  <si>
    <t>High-yield corporate bonds</t>
  </si>
  <si>
    <t>U.S. mortgage-backed securities</t>
  </si>
  <si>
    <t>Agency mortgage-backed securities</t>
  </si>
  <si>
    <t>Price of gold</t>
  </si>
  <si>
    <t>Price of silver</t>
  </si>
  <si>
    <t>Price of West Texas Intermediate crude oil</t>
  </si>
  <si>
    <t>Broad commodity index</t>
  </si>
  <si>
    <t>U.S. Dollar Index</t>
  </si>
  <si>
    <t>Euro against the U.S. dollar</t>
  </si>
  <si>
    <t>Japanese yen against the U.S. dollar</t>
  </si>
  <si>
    <t>Local currency emerging market debt</t>
  </si>
  <si>
    <t>Nikkei 225 Index for Japan</t>
  </si>
  <si>
    <t>Large-cap Chinese stocks</t>
  </si>
  <si>
    <t>A-shares of the 300 largest companies in China</t>
  </si>
  <si>
    <t>DAX Index for Germany</t>
  </si>
  <si>
    <t>FTSE 100 Index for the UK</t>
  </si>
  <si>
    <t>Canadian equities</t>
  </si>
  <si>
    <t>Spanish equities</t>
  </si>
  <si>
    <t>Italian equities</t>
  </si>
  <si>
    <t>CAC 40 Index for France</t>
  </si>
  <si>
    <t>U.S. dollar-denominated bonds issued by emerging market governments</t>
  </si>
  <si>
    <t>Government bonds in developed markets</t>
  </si>
  <si>
    <t>IEI</t>
  </si>
  <si>
    <t>iShares 3-7 Year Treasury Bond ETF</t>
  </si>
  <si>
    <t>Rates</t>
  </si>
  <si>
    <t>Short-term U.S. Treasury bonds (1-3 years)</t>
  </si>
  <si>
    <t>Intermediate-term U.S. Treasury bonds (3-7 years)</t>
  </si>
  <si>
    <t>IEF</t>
  </si>
  <si>
    <t>iShares 7-10 Year Treasury Bond ETF</t>
  </si>
  <si>
    <t>Intermediate-term U.S. Treasury bonds (7-10 years)</t>
  </si>
  <si>
    <t>Long-term U.S. Treasury bonds (20+ years)</t>
  </si>
  <si>
    <t>TIP</t>
  </si>
  <si>
    <t>iShares TIPS Bond ETF</t>
  </si>
  <si>
    <t>U.S. Treasury Inflation-Protected Securities (TIPS)</t>
  </si>
  <si>
    <t>S&amp;P 500</t>
  </si>
  <si>
    <t>Russell 2000</t>
  </si>
  <si>
    <t>Nasdaq 100</t>
  </si>
  <si>
    <t>Nikkei 225</t>
  </si>
  <si>
    <t>TPX</t>
  </si>
  <si>
    <t>iShares TOPIX ETF</t>
  </si>
  <si>
    <t>Tokyo Stock Price Index (TOPIX)</t>
  </si>
  <si>
    <t>TOPIX</t>
  </si>
  <si>
    <t>Gold</t>
  </si>
  <si>
    <t>Euro</t>
  </si>
  <si>
    <t>Description_GPT</t>
  </si>
  <si>
    <t>SPDR EURO STOXX 50 ETF</t>
  </si>
  <si>
    <t>Eurostoxx 50</t>
  </si>
  <si>
    <t>Active</t>
  </si>
  <si>
    <t>Simplify Mortgage Backed Securities ETF</t>
  </si>
  <si>
    <t>U.S. mortgage-backed securities (short duration)</t>
  </si>
  <si>
    <t>Dow Jones 30</t>
  </si>
  <si>
    <t>Eurostoxx Banks</t>
  </si>
  <si>
    <t>SX7E</t>
  </si>
  <si>
    <t>DAX (Germany)</t>
  </si>
  <si>
    <t>CAC 40 (France)</t>
  </si>
  <si>
    <t>Technology</t>
  </si>
  <si>
    <t>Industrials</t>
  </si>
  <si>
    <t>Financials</t>
  </si>
  <si>
    <t>Regional Banks</t>
  </si>
  <si>
    <t>Communications</t>
  </si>
  <si>
    <t>Energy</t>
  </si>
  <si>
    <t>Discretionary</t>
  </si>
  <si>
    <t>Materials</t>
  </si>
  <si>
    <t>Health Care</t>
  </si>
  <si>
    <t>Utilities</t>
  </si>
  <si>
    <t>Staples</t>
  </si>
  <si>
    <t>Real Estate</t>
  </si>
  <si>
    <t>TSX 60 (Canada)</t>
  </si>
  <si>
    <t>DOW</t>
  </si>
  <si>
    <t>XLK</t>
  </si>
  <si>
    <t>XLI</t>
  </si>
  <si>
    <t>XLF</t>
  </si>
  <si>
    <t>KRE</t>
  </si>
  <si>
    <t>XLC</t>
  </si>
  <si>
    <t>XLY</t>
  </si>
  <si>
    <t>XLB</t>
  </si>
  <si>
    <t>XLV</t>
  </si>
  <si>
    <t>XLU</t>
  </si>
  <si>
    <t>XLP</t>
  </si>
  <si>
    <t>REIT</t>
  </si>
  <si>
    <t>TSX</t>
  </si>
  <si>
    <t>FTSE 100 (UK)</t>
  </si>
  <si>
    <t>Nikkei 225 (Japan)</t>
  </si>
  <si>
    <t>Topix (Japan domenstic)</t>
  </si>
  <si>
    <t>Hang Seng (Hong Kong)</t>
  </si>
  <si>
    <t>KOSPI 200 (Korea)</t>
  </si>
  <si>
    <t>NIFTY 50 (India)</t>
  </si>
  <si>
    <t>MSCI Brazil Index</t>
  </si>
  <si>
    <t>CSI 300 (China)</t>
  </si>
  <si>
    <t>MSCI EM</t>
  </si>
  <si>
    <t>FTSE China 50</t>
  </si>
  <si>
    <t>FTSE</t>
  </si>
  <si>
    <t>KOSPI</t>
  </si>
  <si>
    <t>NIFTY</t>
  </si>
  <si>
    <t>EWZ</t>
  </si>
  <si>
    <t>EEM</t>
  </si>
  <si>
    <t>US IG CDX</t>
  </si>
  <si>
    <t>US HY CDX</t>
  </si>
  <si>
    <t>US IG Bond ETF</t>
  </si>
  <si>
    <t>US HY Bond ETF</t>
  </si>
  <si>
    <t>Leveraged Loans</t>
  </si>
  <si>
    <t>LOAN</t>
  </si>
  <si>
    <t>Eur MAIN CDX (IG)</t>
  </si>
  <si>
    <t>Eur XOVER CDX (HY)</t>
  </si>
  <si>
    <t>Eur Sen Fin CDX</t>
  </si>
  <si>
    <t>MAIN</t>
  </si>
  <si>
    <t>XOVER</t>
  </si>
  <si>
    <t>SENFIN</t>
  </si>
  <si>
    <t>US Agg Bond Index</t>
  </si>
  <si>
    <t>1-3 Year Treasury ETF</t>
  </si>
  <si>
    <t>7-10 Year Treasury ETF</t>
  </si>
  <si>
    <t>20+ Year Treasury ETF</t>
  </si>
  <si>
    <t>TIPS ETF</t>
  </si>
  <si>
    <t>Muni ETF</t>
  </si>
  <si>
    <t>AGG</t>
  </si>
  <si>
    <t>MUB</t>
  </si>
  <si>
    <t>GBP</t>
  </si>
  <si>
    <t>USD 2-year swap</t>
  </si>
  <si>
    <t>USD 5-year swap</t>
  </si>
  <si>
    <t>USD 10-year swap</t>
  </si>
  <si>
    <t>USD 20-year swap</t>
  </si>
  <si>
    <t>USD 30-year swap</t>
  </si>
  <si>
    <t>EUR 2-year swap</t>
  </si>
  <si>
    <t>EUR 5-year swap</t>
  </si>
  <si>
    <t>EUR 10-year swap</t>
  </si>
  <si>
    <t>EUR 20-year swap</t>
  </si>
  <si>
    <t>EUR 30-year swap</t>
  </si>
  <si>
    <t>GBP 2-year swap</t>
  </si>
  <si>
    <t>GBP 5-year swap</t>
  </si>
  <si>
    <t>GBP 10-year swap</t>
  </si>
  <si>
    <t>GBP 20-year swap</t>
  </si>
  <si>
    <t>GBP 30-year swap</t>
  </si>
  <si>
    <t>USD02</t>
  </si>
  <si>
    <t>USD05</t>
  </si>
  <si>
    <t>USD10</t>
  </si>
  <si>
    <t>USD20</t>
  </si>
  <si>
    <t>USD30</t>
  </si>
  <si>
    <t>EUR02</t>
  </si>
  <si>
    <t>EUR05</t>
  </si>
  <si>
    <t>EUR10</t>
  </si>
  <si>
    <t>EUR20</t>
  </si>
  <si>
    <t>EUR30</t>
  </si>
  <si>
    <t>GBP02</t>
  </si>
  <si>
    <t>GBP05</t>
  </si>
  <si>
    <t>GBP10</t>
  </si>
  <si>
    <t>GBP20</t>
  </si>
  <si>
    <t>GBP30</t>
  </si>
  <si>
    <t>AUD</t>
  </si>
  <si>
    <t>NZD</t>
  </si>
  <si>
    <t>CHF</t>
  </si>
  <si>
    <t>SEK</t>
  </si>
  <si>
    <t>NOK</t>
  </si>
  <si>
    <t>INR</t>
  </si>
  <si>
    <t>TWD</t>
  </si>
  <si>
    <t>KRW</t>
  </si>
  <si>
    <t>BRL</t>
  </si>
  <si>
    <t>MXN</t>
  </si>
  <si>
    <t>TRY</t>
  </si>
  <si>
    <t>RUB</t>
  </si>
  <si>
    <t>GOLD</t>
  </si>
  <si>
    <t>CRUDE</t>
  </si>
  <si>
    <t>GSCI</t>
  </si>
  <si>
    <t>Japanese Yen</t>
  </si>
  <si>
    <t>British Pound</t>
  </si>
  <si>
    <t>Australian Dollar</t>
  </si>
  <si>
    <t>New Zealand Dollar</t>
  </si>
  <si>
    <t>Canadian Dollar</t>
  </si>
  <si>
    <t>Swiss Franc</t>
  </si>
  <si>
    <t>Swedish Krona</t>
  </si>
  <si>
    <t>Norwegian Krone</t>
  </si>
  <si>
    <t>Chinese Yuan</t>
  </si>
  <si>
    <t>Indian Rupee</t>
  </si>
  <si>
    <t>New Taiwan Dollar</t>
  </si>
  <si>
    <t>South Korean Won</t>
  </si>
  <si>
    <t>Brazilian Real</t>
  </si>
  <si>
    <t>Mexican Peso</t>
  </si>
  <si>
    <t>Turkish Lira</t>
  </si>
  <si>
    <t>Russian Ruble</t>
  </si>
  <si>
    <t>Crude Oil</t>
  </si>
  <si>
    <t>Active Vol</t>
  </si>
  <si>
    <t>INDU</t>
  </si>
  <si>
    <t>IYR</t>
  </si>
  <si>
    <t>SPTSX60</t>
  </si>
  <si>
    <t>UKX</t>
  </si>
  <si>
    <t>HSI</t>
  </si>
  <si>
    <t>KOSPI2</t>
  </si>
  <si>
    <t>NIFTY5</t>
  </si>
  <si>
    <t>IBOXUMAE</t>
  </si>
  <si>
    <t>IBOXHYSE</t>
  </si>
  <si>
    <t>BKLN</t>
  </si>
  <si>
    <t>ITRXEBE</t>
  </si>
  <si>
    <t>ITRXEXE</t>
  </si>
  <si>
    <t>ITRXESE</t>
  </si>
  <si>
    <t>EURUSD</t>
  </si>
  <si>
    <t>USDJPY</t>
  </si>
  <si>
    <t>GBPUSD</t>
  </si>
  <si>
    <t>AUDUSD</t>
  </si>
  <si>
    <t>NZDUSD</t>
  </si>
  <si>
    <t>USDCAD</t>
  </si>
  <si>
    <t>USDCHF</t>
  </si>
  <si>
    <t>USDSEK</t>
  </si>
  <si>
    <t>USDNOK</t>
  </si>
  <si>
    <t>USDCNH</t>
  </si>
  <si>
    <t>USDINR</t>
  </si>
  <si>
    <t>USDTWD</t>
  </si>
  <si>
    <t>USDKRW</t>
  </si>
  <si>
    <t>USDBRL</t>
  </si>
  <si>
    <t>USDMXN</t>
  </si>
  <si>
    <t>USDTRY</t>
  </si>
  <si>
    <t>USDRUB</t>
  </si>
  <si>
    <t>GSG</t>
  </si>
  <si>
    <t>asset class</t>
  </si>
  <si>
    <t>region</t>
  </si>
  <si>
    <t>Commdty</t>
  </si>
  <si>
    <t>G7</t>
  </si>
  <si>
    <t>Asia</t>
  </si>
  <si>
    <t>subregion</t>
  </si>
  <si>
    <t>Sectors</t>
  </si>
  <si>
    <t>asset_class</t>
  </si>
  <si>
    <t>description_override</t>
  </si>
  <si>
    <t>^N225</t>
  </si>
  <si>
    <t>factor_name_new</t>
  </si>
  <si>
    <t>TIPS</t>
  </si>
  <si>
    <t>FTSEMIB.MI</t>
  </si>
  <si>
    <t>BTP</t>
  </si>
  <si>
    <t>IBEX</t>
  </si>
  <si>
    <t>^IBEX</t>
  </si>
  <si>
    <t>IBEX 35 (Spain)</t>
  </si>
  <si>
    <t>FTSE MIB (Italy)</t>
  </si>
  <si>
    <t>tip</t>
  </si>
  <si>
    <t>vtip</t>
  </si>
  <si>
    <t>cmbs</t>
  </si>
  <si>
    <t>vmbs</t>
  </si>
  <si>
    <t>gld</t>
  </si>
  <si>
    <t>lqd</t>
  </si>
  <si>
    <t>lqdh</t>
  </si>
  <si>
    <t>hyg</t>
  </si>
  <si>
    <t>hygh</t>
  </si>
  <si>
    <t>XLE</t>
  </si>
  <si>
    <t>Emhy mdy vnq pff ashr kweb fxi aiq</t>
  </si>
  <si>
    <t>VTIP</t>
  </si>
  <si>
    <t>CMBS</t>
  </si>
  <si>
    <t>VMBS</t>
  </si>
  <si>
    <t>LQDH</t>
  </si>
  <si>
    <t>HYGH</t>
  </si>
  <si>
    <t>EMHY</t>
  </si>
  <si>
    <t>Emhy</t>
  </si>
  <si>
    <t>mdy</t>
  </si>
  <si>
    <t>vnq</t>
  </si>
  <si>
    <t>pff</t>
  </si>
  <si>
    <t>ashr</t>
  </si>
  <si>
    <t>kweb</t>
  </si>
  <si>
    <t>fxi</t>
  </si>
  <si>
    <t>aiq</t>
  </si>
  <si>
    <t>Asset Class</t>
  </si>
  <si>
    <t>Region</t>
  </si>
  <si>
    <t>Ticker</t>
  </si>
  <si>
    <t>MDY</t>
  </si>
  <si>
    <t>SPDR S&amp;P MidCap 400 ETF Trust</t>
  </si>
  <si>
    <t>S&amp;P MidCap 400 Index</t>
  </si>
  <si>
    <t>VNQ</t>
  </si>
  <si>
    <t>Vanguard Real Estate ETF</t>
  </si>
  <si>
    <t>MSCI US REIT Index</t>
  </si>
  <si>
    <t>PFF</t>
  </si>
  <si>
    <t>iShares Preferred and Income Securities ETF</t>
  </si>
  <si>
    <t>U.S. preferred stocks</t>
  </si>
  <si>
    <t>Technology Select Sector SPDR Fund</t>
  </si>
  <si>
    <t>U.S. technology sector</t>
  </si>
  <si>
    <t>Industrial Select Sector SPDR Fund</t>
  </si>
  <si>
    <t>U.S. industrial sector</t>
  </si>
  <si>
    <t>Financial Select Sector SPDR Fund</t>
  </si>
  <si>
    <t>U.S. financial sector</t>
  </si>
  <si>
    <t>SPDR S&amp;P Regional Banking ETF</t>
  </si>
  <si>
    <t>U.S. regional banking sector</t>
  </si>
  <si>
    <t>Communication Services Select Sector SPDR</t>
  </si>
  <si>
    <t>U.S. communication services sector</t>
  </si>
  <si>
    <t>Energy Select Sector SPDR Fund</t>
  </si>
  <si>
    <t>U.S. energy sector</t>
  </si>
  <si>
    <t>Consumer Discretionary Select Sector SPDR</t>
  </si>
  <si>
    <t>U.S. consumer discretionary sector</t>
  </si>
  <si>
    <t>Materials Select Sector SPDR Fund</t>
  </si>
  <si>
    <t>U.S. materials sector</t>
  </si>
  <si>
    <t>Health Care Select Sector SPDR Fund</t>
  </si>
  <si>
    <t>U.S. healthcare sector</t>
  </si>
  <si>
    <t>Utilities Select Sector SPDR Fund</t>
  </si>
  <si>
    <t>U.S. utilities sector</t>
  </si>
  <si>
    <t>Consumer Staples Select Sector SPDR Fund</t>
  </si>
  <si>
    <t>U.S. consumer staples sector</t>
  </si>
  <si>
    <t>iShares U.S. Real Estate ETF</t>
  </si>
  <si>
    <t>U.S. real estate</t>
  </si>
  <si>
    <t>iShares STOXX Europe 600 Banks</t>
  </si>
  <si>
    <t>STOXX Europe 600 Banks Index</t>
  </si>
  <si>
    <t>FTSE 100 Index</t>
  </si>
  <si>
    <t>FTSE MIB Index for Italy</t>
  </si>
  <si>
    <t>IBEX 35 ETF</t>
  </si>
  <si>
    <t>IBEX 35 Index for Spain</t>
  </si>
  <si>
    <t>KWEB</t>
  </si>
  <si>
    <t>KraneShares CSI China Internet ETF</t>
  </si>
  <si>
    <t>Chinese internet sector</t>
  </si>
  <si>
    <t>AIQ</t>
  </si>
  <si>
    <t>Global X Artificial Intelligence &amp; Technology ETF</t>
  </si>
  <si>
    <t>Global AI and technology companies</t>
  </si>
  <si>
    <t>iShares Interest Rate Hedged Corporate Bond ETF</t>
  </si>
  <si>
    <t>Interest rate-hedged corporate bonds</t>
  </si>
  <si>
    <t>iShares Interest Rate Hedged High Yield Bond ETF</t>
  </si>
  <si>
    <t>Interest rate-hedged high-yield bonds</t>
  </si>
  <si>
    <t>iShares Emerging Markets High Yield Bond ETF</t>
  </si>
  <si>
    <t>High-yield emerging market bonds</t>
  </si>
  <si>
    <t>Vanguard Short-Term Inflation-Protected Securities ETF</t>
  </si>
  <si>
    <t>Short-term TIPS</t>
  </si>
  <si>
    <t>Mortgage-backed securities (MBS)</t>
  </si>
  <si>
    <t>Vanguard Mortgage-Backed Securities ETF</t>
  </si>
  <si>
    <t>Mortgage-backed securities</t>
  </si>
  <si>
    <t>iShares CMBS ETF</t>
  </si>
  <si>
    <t>Commercial mortgage-backed securities</t>
  </si>
  <si>
    <t>U.S. dollar-denominated emerging market bonds</t>
  </si>
  <si>
    <t>S&amp;P 400</t>
  </si>
  <si>
    <t>AI</t>
  </si>
  <si>
    <t>Real Estate 2</t>
  </si>
  <si>
    <t>Preferred</t>
  </si>
  <si>
    <t>MCAP</t>
  </si>
  <si>
    <t>Sector</t>
  </si>
  <si>
    <t>IGB</t>
  </si>
  <si>
    <t>HYB</t>
  </si>
  <si>
    <t>hyper_factor</t>
  </si>
  <si>
    <t>MWTIX</t>
  </si>
  <si>
    <t>TRUMP</t>
  </si>
  <si>
    <t>ICLN</t>
  </si>
  <si>
    <t>or TEN</t>
  </si>
  <si>
    <t>unit</t>
  </si>
  <si>
    <t>capital</t>
  </si>
  <si>
    <t>vol</t>
  </si>
  <si>
    <t>govt spending</t>
  </si>
  <si>
    <t>or TLT v. VTIP</t>
  </si>
  <si>
    <t>RSP</t>
  </si>
  <si>
    <t>FED</t>
  </si>
  <si>
    <t>SOFRZ5</t>
  </si>
  <si>
    <t>SOFRZ4</t>
  </si>
  <si>
    <t>Clean Energy</t>
  </si>
  <si>
    <t>S&amp;P 500 EW</t>
  </si>
  <si>
    <t>Theme</t>
  </si>
  <si>
    <t>composite</t>
  </si>
  <si>
    <t>Portfolio</t>
  </si>
  <si>
    <t>BSV</t>
  </si>
  <si>
    <t>weight</t>
  </si>
  <si>
    <t>portfolio_name</t>
  </si>
  <si>
    <t>GEOPOLITICS</t>
  </si>
  <si>
    <t>2s10s</t>
  </si>
  <si>
    <t>allna</t>
  </si>
  <si>
    <t>lag, 1</t>
  </si>
  <si>
    <t>lognormal</t>
  </si>
  <si>
    <t>yfinance</t>
  </si>
  <si>
    <t>TY</t>
  </si>
  <si>
    <t>lag, 5</t>
  </si>
  <si>
    <t>^TNX</t>
  </si>
  <si>
    <t>^FCHI</t>
  </si>
  <si>
    <t>spx, beta=1</t>
  </si>
  <si>
    <t>RUT</t>
  </si>
  <si>
    <t>na_method</t>
  </si>
  <si>
    <t>na_lag_tolerance</t>
  </si>
  <si>
    <t>diffusion_type</t>
  </si>
  <si>
    <t>ticker</t>
  </si>
  <si>
    <t>source</t>
  </si>
  <si>
    <t>normal</t>
  </si>
  <si>
    <t>multiplier</t>
  </si>
  <si>
    <t>return = chg(factor) * multiplier</t>
  </si>
  <si>
    <t>L1  = L0 + chg(F)*M = L0 + R*M</t>
  </si>
  <si>
    <t>^VIX</t>
  </si>
  <si>
    <t>CBOE Volatility Index</t>
  </si>
  <si>
    <t>CBOE VIX VOLATILITY INDEX</t>
  </si>
  <si>
    <t>^MOVE</t>
  </si>
  <si>
    <t>Vol</t>
  </si>
  <si>
    <t>ICE BofAML MOVE Index</t>
  </si>
  <si>
    <t>^OVX</t>
  </si>
  <si>
    <t>CBOE Crude Oil Volatility Index</t>
  </si>
  <si>
    <t>^EVZ</t>
  </si>
  <si>
    <t>CBOE Euro currency Volatility I</t>
  </si>
  <si>
    <t>^GVZ</t>
  </si>
  <si>
    <t>CBOE Gold Volatility Index</t>
  </si>
  <si>
    <t>^VVIX</t>
  </si>
  <si>
    <t>^COR3M</t>
  </si>
  <si>
    <t>Cboe Implied Correlation Index</t>
  </si>
  <si>
    <t>client</t>
  </si>
  <si>
    <t>Vanguard Short-Term Bond Index Fund ETF</t>
  </si>
  <si>
    <t>Investment-grade short-dated bonds</t>
  </si>
  <si>
    <t>Ticker delisted?</t>
  </si>
  <si>
    <t>note</t>
  </si>
  <si>
    <t>DX-Y.NYB</t>
  </si>
  <si>
    <t>DXY</t>
  </si>
  <si>
    <t>VXX</t>
  </si>
  <si>
    <t>VIX Short-Term Futures ETN</t>
  </si>
  <si>
    <t>^VIX3M</t>
  </si>
  <si>
    <t>CBOE S&amp;P 500 3-Month Volatility</t>
  </si>
  <si>
    <t>FXF</t>
  </si>
  <si>
    <t>Invesco CurrencyShares Swiss Franc Trust</t>
  </si>
  <si>
    <t>Swiss franc against the U.S. dollar</t>
  </si>
  <si>
    <t>TRADEWAR</t>
  </si>
  <si>
    <t>Can also short discretionary/staples</t>
  </si>
  <si>
    <t>volweight</t>
  </si>
  <si>
    <t>XLPXLY</t>
  </si>
  <si>
    <t>TRADEWAR_OLD</t>
  </si>
  <si>
    <t>Staples/Discretionary</t>
  </si>
  <si>
    <t>date</t>
  </si>
  <si>
    <t>ELECTION</t>
  </si>
  <si>
    <t>Artificial Intelligence</t>
  </si>
  <si>
    <t>FTSE 100</t>
  </si>
  <si>
    <t>MSCI Canada</t>
  </si>
  <si>
    <t>MSCI Italy</t>
  </si>
  <si>
    <t>MSCI Spain</t>
  </si>
  <si>
    <t>China Large-Cap</t>
  </si>
  <si>
    <t>CSI China Internet</t>
  </si>
  <si>
    <t>iShares MSCI Emerging Markets ETF</t>
  </si>
  <si>
    <t>iShares Core US Aggregate Bond ETF</t>
  </si>
  <si>
    <t>US Agg</t>
  </si>
  <si>
    <t>CBOE Interest Rate 10 Year</t>
  </si>
  <si>
    <t>Short-Term Inflation-Protected Securities ETF</t>
  </si>
  <si>
    <t>Mortgage-Backed Securities ETF</t>
  </si>
  <si>
    <t>iShares JP Morgan EM High Yield Bond ETF</t>
  </si>
  <si>
    <t>TCW MetWest Total Return Bd I</t>
  </si>
  <si>
    <t>JPYUSD</t>
  </si>
  <si>
    <t>CHFUSD</t>
  </si>
  <si>
    <t>Hedged HYG</t>
  </si>
  <si>
    <t>Hedged LQD</t>
  </si>
  <si>
    <t>Econ</t>
  </si>
  <si>
    <t>UNCERTAINTY</t>
  </si>
  <si>
    <t>fred</t>
  </si>
  <si>
    <t>Economic Policy Uncertainty Index for United States</t>
  </si>
  <si>
    <t>USEPUINDXD</t>
  </si>
  <si>
    <t>shortName</t>
  </si>
  <si>
    <t>longName</t>
  </si>
  <si>
    <t>longBusinessSummary</t>
  </si>
  <si>
    <t>SPDR S&amp;P 500</t>
  </si>
  <si>
    <t>SPDR S&amp;P 500 ETF</t>
  </si>
  <si>
    <t>The trust seeks to achieve its investment objective by holding a portfolio of the common stocks that are included in the index, with the weight of each stock in the portfolio substantially corresponding to the weight of such stock in the index.</t>
  </si>
  <si>
    <t>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t>
  </si>
  <si>
    <t>SPDR S&amp;P MIDCAP 400 ETF Trust</t>
  </si>
  <si>
    <t>The Trust seeks to achieve its investment objective by holding a portfolio of the common stocks that are included in the index (the “Portfolio”), with the weight of each stock in the Portfolio substantially corresponding to the weight of such stock in the index.</t>
  </si>
  <si>
    <t>Invesco S&amp;P 500 Equal Weight ET</t>
  </si>
  <si>
    <t>Invesco S&amp;P 500 Equal Weight ETF</t>
  </si>
  <si>
    <t>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of the S&amp;P 500® Index.</t>
  </si>
  <si>
    <t>Invesco QQQ Trust, Series 1</t>
  </si>
  <si>
    <t>To maintain the correspondence between the composition and weights of the securities in the trust (the "securities") and the stocks in the NASDAQ-100 Index®, the adviser adjusts the securities from time to time to conform to periodic changes in the identity and/or relative weights of index securities. The composition and weighting of the securities portion of a portfolio deposit are also adjusted to conform to changes in the index.</t>
  </si>
  <si>
    <t>SPDR Dow Jones Industrial Avera</t>
  </si>
  <si>
    <t>The Trust’s Portfolio consists of substantially all of the component common stocks that comprise the DJIA, which are weighted in accordance with the terms of the Trust Agreement.</t>
  </si>
  <si>
    <t>SPDR Select Sector Fund - Techn</t>
  </si>
  <si>
    <t>The Technology Select Sector SPDR Fund</t>
  </si>
  <si>
    <t>In seeking to track the performance of the index, the fund employs a replication strategy, which means that the fund typically invests in substantially all of the securities represented in the index in approximately the same proportions as the index. It generally invests substantially all, but at least 95%, of its total assets in the securities comprising the index. The fund is non-diversified.</t>
  </si>
  <si>
    <t>SPDR Select Sector Fund - Indus</t>
  </si>
  <si>
    <t>The Industrial Select Sector SPDR Fund</t>
  </si>
  <si>
    <t>Under normal market conditions, the fund generally invests substantially all, but at least 95%, of its total assets in the securities comprising the index. The index includes companies that have been identified as Industrial companies by the Global Industry Classification Standard, including securities of companies from the following industries: aerospace and defense; industrial conglomerates; marine transportation. It is non-diversified.</t>
  </si>
  <si>
    <t>SPDR Select Sector Fund - Finan</t>
  </si>
  <si>
    <t>The Financial Select Sector SPDR Fund</t>
  </si>
  <si>
    <t>The fund generally invests substantially all, but at least 95%, of its total assets in the securities comprising the index. The index includes companies that have been identified as Financial companies by the Global Industry Classification Standard, including securities of companies from the following industries: financial services; insurance; banks; capital markets; mortgage real estate investment trusts; and consumer finance. The fund is non-diversified.</t>
  </si>
  <si>
    <t>In seeking to track the performance of the S&amp;P Regional Banks Select Industry Index (the "index"), the fund employs a sampling strategy. It generally invests substantially all, but at least 80%, of its total assets in the securities comprising the index. The index represents the regional banks segment of the S&amp;P Total Market Index ("S&amp;P TMI").</t>
  </si>
  <si>
    <t>The Communication Services Sele</t>
  </si>
  <si>
    <t>The Communication Services Select Sector SPDR ETF Fund</t>
  </si>
  <si>
    <t>Normally, the fund generally invests substantially all, but at least 95%, of its total assets in the securities comprising the index. The index includes companies that have been identified as Communication Services companies by the GICS®, including securities of companies from the following industries: diversified telecommunication services; wireless telecommunication services; media; entertainment; and interactive media &amp; services. The fund is non-diversified.</t>
  </si>
  <si>
    <t>SPDR Select Sector Fund - Energ</t>
  </si>
  <si>
    <t>The Energy Select Sector SPDR Fund</t>
  </si>
  <si>
    <t>In seeking to track the performance of the index, the fund employs a replication strategy. It generally invests substantially all, but at least 95%, of its total assets in the securities comprising the index. The index includes companies that have been identified as Energy companies by the GICS®, including securities of companies from the following industries: oil, gas and consumable fuels; and energy equipment and services. It is non-diversified.</t>
  </si>
  <si>
    <t>SPDR Select Sector Fund - Consu</t>
  </si>
  <si>
    <t>The Consumer Discretionary Select Sector SPDR Fund</t>
  </si>
  <si>
    <t>The Advisor employs a replication strategy. The fund generally invests substantially all, but at least 95%, of its total assets in the securities comprising the index. The index includes companies that have been identified as Consumer Discretionary companies by the Global Industry Classification Standard (GICS®). It is non-diversified.</t>
  </si>
  <si>
    <t>Materials Select Sector SPDR</t>
  </si>
  <si>
    <t>The Materials Select Sector SPDR Fund</t>
  </si>
  <si>
    <t>In seeking to track the performance of the index, the fund employs a replication strategy. It generally invests substantially all, but at least 95%, of its total assets in the securities comprising the index. The index includes securities of companies from the following industries: chemicals; metals and mining; paper and forest products; containers and packaging; and construction materials. The fund is non-diversified.</t>
  </si>
  <si>
    <t>SPDR Select Sector Fund - Healt</t>
  </si>
  <si>
    <t>The Health Care Select Sector SPDR Fund</t>
  </si>
  <si>
    <t>In seeking to track the performance of the index, the fund employs a replication strategy. It generally invests substantially all, but at least 95%, of its total assets in the securities comprising the index. The index includes companies from the following industries: pharmaceuticals; health care equipment &amp; supplies; health care providers &amp; services; biotechnology; life sciences tools &amp; services; and health care technology. The fund is non-diversified.</t>
  </si>
  <si>
    <t>SPDR Select Sector Fund - Utili</t>
  </si>
  <si>
    <t>The Utilities Select Sector SPDR Fund</t>
  </si>
  <si>
    <t>In seeking to track the performance of the index, the fund employs a replication strategy. It generally invests substantially all, but at least 95%, of its total assets in the securities comprising the index. The index includes securities of companies from the following industries: electric utilities; water utilities; multi-utilities; independent power and renewable electricity producers; and gas utilities. The fund is non-diversified.</t>
  </si>
  <si>
    <t>The Consumer Staples Select Sector SPDR Fund</t>
  </si>
  <si>
    <t>In seeking to track the performance of the index, the fund employs a replication strategy. It generally invests substantially all, but at least 95%, of its total assets in the securities comprising the index. The index includes companies that have been identified as Consumer Staples companies by the GICS®. It is non-diversified.</t>
  </si>
  <si>
    <t>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t>
  </si>
  <si>
    <t>Vanguard Real Estate Index Fund ETF Shares</t>
  </si>
  <si>
    <t>The advisor attempts to track the index by investing all, or substantially all, of its assets-either directly or indirectly through a wholly owned subsidiary, which is itself a registered investment company-in the stocks that make up the index, holding each stock in approximately the same proportion as its weighting in the index. The fund is non-diversified.</t>
  </si>
  <si>
    <t>Global X Artificial Intelligenc</t>
  </si>
  <si>
    <t>The fund invests at least 80% of its total assets in the securities of the underlying index. The underlying index is designed to track the performance of companies involved in the development and utilization of artificial intelligence ("AI") and big data. The fund is non-diversified.</t>
  </si>
  <si>
    <t>iShares Global Clean Energy ETF</t>
  </si>
  <si>
    <t>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t>
  </si>
  <si>
    <t>iShares Preferred and Income Se</t>
  </si>
  <si>
    <t>The fund may invest at least 80% of its assets in the component securities of its underlying index and and may invest up to 20% of its assets in certain futures, options and swap contracts, cash and cash equivalents.</t>
  </si>
  <si>
    <t>SPDR DJ Euro STOXX 50 Etf</t>
  </si>
  <si>
    <t>The fund employs a sampling strategy, which means that the fund is not required to purchase all of the securities represented in the index. It generally invests substantially all, but at least 80%, of its total assets in the securities comprising the index. The index is a market capitalization weighted index designed to represent the performance of some of the largest companies across components of the 20 EURO STOXX Supersector Indexes. The EURO STOXX Supersector Indexes are subsets of the EURO STOXX Index.</t>
  </si>
  <si>
    <t>iShares MSCI</t>
  </si>
  <si>
    <t>iShares MSCI United Kingdom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</si>
  <si>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UK market. The fund is non-diversified.</t>
  </si>
  <si>
    <t>Global X DAX Germany ETF</t>
  </si>
  <si>
    <t>The fund invests at least 80% of its total assets in the securities of the underlying index and in American Depositary Receipts ("ADRs") and Global Depositary Receipts ("GDRs") based on the securities in the underlying index. The index tracks the segment of the largest and most actively traded companies - known as blue chips - on the German equities market. The fund is non-diversified.</t>
  </si>
  <si>
    <t>iShares MSCI Canada Index Fund</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</si>
  <si>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broad-based equity performance in Canada. The underlying index includes large- and mid-capitalization companies and may change over time.</t>
  </si>
  <si>
    <t xml:space="preserve">iShares Inc iShares MSCI Italy </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</si>
  <si>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and mid-capitalization segments of the equity market in Italy. The fund is non-diversified.</t>
  </si>
  <si>
    <t>The fund generally will invest at least 80% of its assets in the component securities of its underlying index and in investments that have economic characteristics that are substantially identical to the component securities of its underlying index. The index designed to measure the performance of the largest companies in the Chinese equity market that trade on the Stock Exchange of Hong Kong and are available to international investors. The fund is non-diversified.</t>
  </si>
  <si>
    <t>Xtrackers Harvest CSI 300 China</t>
  </si>
  <si>
    <t>The fund will normally invest at least 80% of its total assets in securities of issuers that comprise the underlying index. The underlying index is designed to reflect the price fluctuation and performance of the China A-Share market and is composed of the 300 largest and most liquid stocks in the China A-Share market. The underlying index includes small-cap, mid-cap, and large-cap stocks. It is non-diversified.</t>
  </si>
  <si>
    <t>KraneShares Trust KraneShares C</t>
  </si>
  <si>
    <t>The fund will invest at least 80% of its net assets in instruments in its underlying index or in instruments that have economic characteristics similar to those in the underlying index. The index is designed to measure the equity market performance of investable publicly traded "China-based companies" whose primary business or businesses are in the Internet and Internet-related sectors, and are listed outside of Mainland China, as determined by the index provider. The fund is non-diversified.</t>
  </si>
  <si>
    <t>iShares MSCI Emerging Index Fun</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</si>
  <si>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t>
  </si>
  <si>
    <t>iShares iBoxx $ Investment Grad</t>
  </si>
  <si>
    <t>The fund will invest at least 80% of its assets in the component securities of the underlying index, and it will invest at least 90% of its assets in fixed income securities of the types included in the underlying index that the advisor believes will help the fund track the underlying index. The underlying index is designed to provide a broad representation of the U.S. dollar-denominated liquid investment-grade corporate bond market.</t>
  </si>
  <si>
    <t>Vanguard Short-Term Bond ETF</t>
  </si>
  <si>
    <t>Vanguard Short-Term Bond Index Fund ETF Shares</t>
  </si>
  <si>
    <t>This index includes all medium and larger issues of U.S. government, investment-grade corporate, and investment-grade international dollar-denominated bonds that have maturities between 1 and 5 years and are publicly issued. All of the fund's investments will be selected through the sampling process, and at least 80% of its assets will be invested in bonds held in the index.</t>
  </si>
  <si>
    <t>iShares iBoxx $ High Yield Corp</t>
  </si>
  <si>
    <t>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</si>
  <si>
    <t>iShares Interest Rate Hedged Co</t>
  </si>
  <si>
    <t>The index is designed to minimize the interest-rate risk exposure of a portfolio composed of U.S. dollar-denominated, investment grade bonds, represented in the index by the underlying fund, by including a series of up to 10 interest rate swap contracts with different maturities. The fund invests, under normal circumstances, at least 80% of its net assets, plus the amount of any borrowings for investment purposes, in component securities and instruments in the index and/or bonds included in the underlying index of the underlying fund.</t>
  </si>
  <si>
    <t>iShares Interest Rate Hedged Hi</t>
  </si>
  <si>
    <t>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t>
  </si>
  <si>
    <t>iShares Core U.S. Aggregate Bon</t>
  </si>
  <si>
    <t>iShares Core U.S. Aggregate Bond ETF</t>
  </si>
  <si>
    <t>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t>
  </si>
  <si>
    <t>CBOE Interest Rate 10 Year T No</t>
  </si>
  <si>
    <t xml:space="preserve">iShares 1-3 Year Treasury Bond </t>
  </si>
  <si>
    <t>The fund will invest at least 80% of its assets in the component securities of the underlying index and it will invest at least 90% of its assets in U.S. Treasury securities that BFA believes will help the fund track the underlying index. The underlying index measures the performance of public obligations of the U.S. Treasury that have a remaining maturity of greater than or equal to one year and less than three years.</t>
  </si>
  <si>
    <t xml:space="preserve">iShares 3-7 Year Treasury Bond </t>
  </si>
  <si>
    <t>The index measures the performance of public obligations of the U.S. Treasury that have a remaining maturity of greater than or equal to three years and less than seven years. The fund will invest at least 80% of its assets in the component securities of the index, and the fund will invest at least 90% of its assets in U.S. Treasury securities that BFA believes will help the fund track the index.</t>
  </si>
  <si>
    <t>iShares 7-10 Year Treasury Bond</t>
  </si>
  <si>
    <t>The underlying index measures the performance of public obligations of the U.S. Treasury that have a remaining maturity of greater than or equal to seven years and less than ten years. The fund will invest at least 80% of its assets in the component securities of the underlying index, and the fund will invest at least 90% of its assets in U.S. Treasury securities that the advisor believes will help the fund track the underlying index.</t>
  </si>
  <si>
    <t xml:space="preserve">iShares 20+ Year Treasury Bond </t>
  </si>
  <si>
    <t>The fund will invest at least 80% of its assets in the component securities of the underlying index, and it will invest at least 90% of its assets in U.S. Treasury securities that the advisor believes will help the fund track the underlying index. The underlying index measures the performance of public obligations of the U.S. Treasury that have a remaining maturity greater than or equal to twenty years.</t>
  </si>
  <si>
    <t>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t>
  </si>
  <si>
    <t>Vanguard Short-Term Inflation-P</t>
  </si>
  <si>
    <t>Vanguard Short-Term Inflation-Protected Securities Index Fund ETF Shares</t>
  </si>
  <si>
    <t>The index is a market-capitalization-weighted index that includes all inflation-protected public obligations issued by the U.S. Treasury with remaining maturities of less than 5 years.</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</si>
  <si>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</si>
  <si>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Vanguard Mortgage-Backed Securi</t>
  </si>
  <si>
    <t>Vanguard Mortgage-Backed Securities Index Fund ETF Shares</t>
  </si>
  <si>
    <t>The fund employs an indexing investment approach designed to track the performance of the Bloomberg U.S. MBS Float Adjusted Index. This index covers U.S. agency mortgage-backed pass-through securities issued by the GNMA, the FNMA, and the FHLMC. To be included in the index, pool aggregates must have at least $1 billion currently outstanding and a weighted average maturity of at least 1 year. All of the fund's investments will be selected through the sampling process, and at least 80% of the fund's assets will be invested in bonds included in the index.</t>
  </si>
  <si>
    <t>iShares CMBS Bond ETF</t>
  </si>
  <si>
    <t>The index measures the performance of investment-grade commercial mortgage-backed securities ("CMBS"), which are classes of securities (known as "certificates") that represent interests in "pools" of commercial mortgages.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</si>
  <si>
    <t>iShares J.P. Morgan USD Emergin</t>
  </si>
  <si>
    <t>The fund will invest at least 80% of its assets in the component securities of the underlying index and will invest at least 90% of its assets in fixed income securities of the types included in the underlying index. The index is a broad, diverse U.S. dollar-denominated emerging markets debt benchmark that tracks the total return of actively traded external debt instruments in emerging market countries.</t>
  </si>
  <si>
    <t>SPDR Gold Trust</t>
  </si>
  <si>
    <t>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t>
  </si>
  <si>
    <t>The Trust seeks to reflect such performance before payment of the Trust's expenses and liabilities. It is not actively managed. The Trust does not engage in any activities designed to obtain a profit from, or to ameliorate losses caused by, changes in the price of silver.</t>
  </si>
  <si>
    <t>United States Oil Fund, LP</t>
  </si>
  <si>
    <t>USO invests primarily in futures contracts for light, sweet crude oil, other types of crude oil, diesel-heating oil, gasoline, natural gas, and other petroleum-based fuels.</t>
  </si>
  <si>
    <t>Invesco DB USD Index Bullish Fu</t>
  </si>
  <si>
    <t>The fund invests in futures contracts in an attempt to track its index. The index is calculated to reflect the changes in market value over time, whether positive or negative, of long positions in DX Contracts.</t>
  </si>
  <si>
    <t>ICE US Dollar Index - Index - C</t>
  </si>
  <si>
    <t>US Dollar Index</t>
  </si>
  <si>
    <t>Invesco CurrencyShares Euro Cur</t>
  </si>
  <si>
    <t>Invesco CurrencyShares Euro Currency Trust</t>
  </si>
  <si>
    <t>Invesco CurrencyShares Japanese</t>
  </si>
  <si>
    <t>The fund seeks to reflect the price in USD of the Japanese Yen. The sponsor believes that, for many investors, the shares represent a cost-effective investment relative to traditional means of investing in the foreign exchange market.</t>
  </si>
  <si>
    <t>Invesco CurrencyShares Swiss Fr</t>
  </si>
  <si>
    <t>The fund seeks to reflect the price of the Swiss Franc. The sponsor believes that, for many investors, the shares represent a cost-effective investment relative to traditional means of investing in the foreign exchange market.</t>
  </si>
  <si>
    <t>iPath Series B S&amp;P 500 VIX Shor</t>
  </si>
  <si>
    <t>iPath Series B S&amp;P 500 VIX Short-Term Futures ETN</t>
  </si>
  <si>
    <t>The ETN offers exposure to futures contracts of specified maturities on the VIX index and not direct exposure to the VIX index or its spot level. The index is designed to provide investors with exposure to one or more maturities of futures contracts on the CBOE Volatility Index®.</t>
  </si>
  <si>
    <t xml:space="preserve"> </t>
  </si>
  <si>
    <t>Column1</t>
  </si>
  <si>
    <t>long_name_yf</t>
  </si>
  <si>
    <t>short_name_yf</t>
  </si>
  <si>
    <t>summary_yf</t>
  </si>
  <si>
    <t>FTSE MIB Index</t>
  </si>
  <si>
    <t>Camden National Corporation</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</si>
  <si>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</si>
  <si>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IBEX 35...</t>
  </si>
  <si>
    <t xml:space="preserve">iShares Inc iShares MSCI Spain </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</si>
  <si>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Spain. The fund is non-diversified.</t>
  </si>
  <si>
    <t>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t>
  </si>
  <si>
    <t>iShares J.P. Morgan EM High Yie</t>
  </si>
  <si>
    <t>iShares J.P. Morgan EM High Yield Bond ETF</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</si>
  <si>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below investment-grade U.S. dollar-denominated, emerging market fixed and floating-rate debt securities issued by corporate, sovereign, and quasi-sovereign entities.</t>
  </si>
  <si>
    <t>WisdomTree Emerging Currency St</t>
  </si>
  <si>
    <t>WisdomTree Emerging Currency Strategy Fund</t>
  </si>
  <si>
    <t>The fund will invest, under normal circumstances, at least 80% of its net assets, plus the amount of any borrowings for investment purposes, in investments whose combined performance is tied economically to selected emerging market countries. It generally will maintain a weighted average portfolio maturity of 90 days or less with respect to the money market securities in its portfolio. The fund is non-diversified.</t>
  </si>
  <si>
    <t xml:space="preserve">iShares International Treasury </t>
  </si>
  <si>
    <t>iShares International Treasury Bond ETF</t>
  </si>
  <si>
    <t>The fund will invest at least 80% of its assets in the component securities of the underlying index and will invest at least 90% of its assets in fixed income securities of the types included in the underlying index. The underlying index measures the performance of fixed-rate, local currency, investment-grade, sovereign bonds from certain developed markets. The fund is non-diversified.</t>
  </si>
  <si>
    <t>Invesco DB Commodity Index Trac</t>
  </si>
  <si>
    <t>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t>
  </si>
  <si>
    <t>^EVZ,92169,0</t>
  </si>
  <si>
    <t>BTC</t>
  </si>
  <si>
    <t>BTC_vol</t>
  </si>
  <si>
    <t>BTC1_price</t>
  </si>
  <si>
    <t>BTC1_atm</t>
  </si>
  <si>
    <t>lmxl</t>
  </si>
  <si>
    <t>FCNTX</t>
  </si>
  <si>
    <t>Fidelity Contrafund</t>
  </si>
  <si>
    <t>FXB</t>
  </si>
  <si>
    <t>Commod</t>
  </si>
  <si>
    <t>FXA</t>
  </si>
  <si>
    <t>FXC</t>
  </si>
  <si>
    <t>CADUSD</t>
  </si>
  <si>
    <t>Invesco CurrencyShares Australian Dollar Trust</t>
  </si>
  <si>
    <t>Invesco CurrencyShares British Pound Sterling Trust</t>
  </si>
  <si>
    <t>Invesco CurrencyShares Canadian Dollar Trust</t>
  </si>
  <si>
    <t>Bank Loans</t>
  </si>
  <si>
    <t>DBA</t>
  </si>
  <si>
    <t>DBB</t>
  </si>
  <si>
    <t>DBE</t>
  </si>
  <si>
    <t>DBO</t>
  </si>
  <si>
    <t>DBP</t>
  </si>
  <si>
    <t>SILVER</t>
  </si>
  <si>
    <t>OIL</t>
  </si>
  <si>
    <t>AGRI</t>
  </si>
  <si>
    <t>COMMOD</t>
  </si>
  <si>
    <t>ENERGY</t>
  </si>
  <si>
    <t>METALS_PREC</t>
  </si>
  <si>
    <t>METAL_BASE</t>
  </si>
  <si>
    <t>SMH</t>
  </si>
  <si>
    <t>IGV</t>
  </si>
  <si>
    <t>Semiconductors</t>
  </si>
  <si>
    <t>VanEck Semiconductor ETF</t>
  </si>
  <si>
    <t>Software</t>
  </si>
  <si>
    <t>iShares Expanded Tech-Software Sector ETF</t>
  </si>
  <si>
    <t>BIZD</t>
  </si>
  <si>
    <t>GPZ</t>
  </si>
  <si>
    <t>Private Debt</t>
  </si>
  <si>
    <t>VanEck BDC Income ETF</t>
  </si>
  <si>
    <t>VanEck Alternative Asset Manager ETF</t>
  </si>
  <si>
    <t>Private Alts</t>
  </si>
  <si>
    <t>IRAN</t>
  </si>
  <si>
    <t>SEMI-SOFT</t>
  </si>
  <si>
    <t>PSP</t>
  </si>
  <si>
    <t>Invesco Global Listed Private Equity ETF</t>
  </si>
  <si>
    <t>Private Equity</t>
  </si>
  <si>
    <t>PRIVATES</t>
  </si>
  <si>
    <t>x</t>
  </si>
  <si>
    <t>IWO</t>
  </si>
  <si>
    <t>IWN</t>
  </si>
  <si>
    <t>MTUM</t>
  </si>
  <si>
    <t>Value</t>
  </si>
  <si>
    <t>iShares Russell 2000 Value ETF</t>
  </si>
  <si>
    <t>iShares Russell 2000 Growth ETF</t>
  </si>
  <si>
    <t>Growth</t>
  </si>
  <si>
    <t>iShares MSCI USA Momentum Factor ETF</t>
  </si>
  <si>
    <t>Momentum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</si>
</sst>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9">
    <border>
      <left/>
      <right/>
      <top/>
      <bottom/>
      <diagonal/>
    </border>
    <border>
      <left/>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right style="thin">
        <color theme="0" tint="-0.24994659260841701"/>
      </right>
      <top style="thin">
        <color theme="0" tint="-0.24994659260841701"/>
      </top>
      <bottom/>
      <diagonal/>
    </border>
    <border>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1">
    <xf numFmtId="0" fontId="0" fillId="0" borderId="0" xfId="0"/>
    <xf numFmtId="0" fontId="0" fillId="0" borderId="1" xfId="0" applyBorder="1"/>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center" vertical="center" wrapText="1"/>
    </xf>
    <xf numFmtId="0" fontId="0" fillId="2" borderId="0" xfId="0" applyFill="1"/>
    <xf numFmtId="164" fontId="0" fillId="0" borderId="0" xfId="0" applyNumberFormat="1"/>
    <xf numFmtId="0" fontId="1" fillId="0" borderId="0" xfId="0" applyFont="1"/>
    <xf numFmtId="14" fontId="0" fillId="0" borderId="0" xfId="0" applyNumberFormat="1"/>
    <xf numFmtId="0" fontId="1" fillId="0" borderId="0" xfId="0" applyFont="1" applyAlignment="1">
      <alignment vertical="center"/>
    </xf>
    <xf numFmtId="0" fontId="0" fillId="0" borderId="5" xfId="0" applyBorder="1"/>
    <xf numFmtId="0" fontId="0" fillId="0" borderId="4" xfId="0" applyBorder="1"/>
    <xf numFmtId="0" fontId="0" fillId="0" borderId="7" xfId="0" applyBorder="1"/>
    <xf numFmtId="0" fontId="0" fillId="0" borderId="6" xfId="0" applyBorder="1"/>
    <xf numFmtId="0" fontId="0" fillId="0" borderId="5" xfId="0" applyBorder="1" applyAlignment="1">
      <alignment vertical="center"/>
    </xf>
    <xf numFmtId="0" fontId="0" fillId="0" borderId="6" xfId="0" applyBorder="1" applyAlignment="1">
      <alignmen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cellXfs>
  <cellStyles count="1">
    <cellStyle name="Normal" xfId="0" builtinId="0"/>
  </cellStyles>
  <dxfs count="44">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border>
        <top style="thin">
          <color theme="0" tint="-0.24994659260841701"/>
        </top>
        <vertical/>
        <horizontal/>
      </border>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bottom style="thin">
          <color theme="0" tint="-0.24994659260841701"/>
        </bottom>
      </border>
    </dxf>
    <dxf>
      <alignment horizontal="left" vertical="center" textRotation="0" wrapText="0" indent="0" justifyLastLine="0" shrinkToFit="0" readingOrder="0"/>
    </dxf>
    <dxf>
      <border>
        <top style="thin">
          <color theme="0" tint="-0.24994659260841701"/>
        </top>
      </border>
    </dxf>
    <dxf>
      <border>
        <bottom style="thin">
          <color theme="0" tint="-0.24994659260841701"/>
        </bottom>
      </border>
    </dxf>
    <dxf>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s>
  <tableStyles count="1" defaultTableStyle="Table Style 1" defaultPivotStyle="PivotStyleLight16">
    <tableStyle name="Table Style 1" pivot="0" count="3" xr9:uid="{26B58CFA-74FB-41FD-AB02-EC6D3EA4F4A1}">
      <tableStyleElement type="wholeTable" dxfId="43"/>
      <tableStyleElement type="headerRow" dxfId="42"/>
      <tableStyleElement type="firstRowStripe" size="3"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58964F-7C40-4BD8-BB87-CC3332134B63}" name="yf_desc" displayName="yf_desc" ref="A1:E76" totalsRowShown="0">
  <autoFilter ref="A1:E76" xr:uid="{0658964F-7C40-4BD8-BB87-CC3332134B63}"/>
  <tableColumns count="5">
    <tableColumn id="1" xr3:uid="{4E84ECC4-B34E-4FFC-B6C9-B8BA42783959}" name="ticker"/>
    <tableColumn id="2" xr3:uid="{D4972B36-6789-4F92-8304-07BBC9178971}" name="shortName"/>
    <tableColumn id="3" xr3:uid="{8E686B16-1DCA-416A-9ADD-1AD0560FD4D0}" name="longName"/>
    <tableColumn id="4" xr3:uid="{976881BC-5D86-4C89-908C-525746AD3386}" name="longBusinessSummary"/>
    <tableColumn id="5" xr3:uid="{17BE55CE-84EC-4E72-938B-0C3E2B64494B}"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96ECD9-9D11-4532-B7BB-C59C7AF13EE1}" name="composities" displayName="composities" ref="A1:C28" totalsRowShown="0">
  <autoFilter ref="A1:C28" xr:uid="{B096ECD9-9D11-4532-B7BB-C59C7AF13EE1}"/>
  <tableColumns count="3">
    <tableColumn id="1" xr3:uid="{871951C6-7319-4AA1-8565-79E8F38A5ACE}" name="portfolio_name"/>
    <tableColumn id="2" xr3:uid="{FF366C7B-7C4B-413F-92EE-C488EBE75CC9}" name="factor_name"/>
    <tableColumn id="3" xr3:uid="{E4250899-FCD2-4E2E-8594-D653C60359AD}" name="weight"/>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D1482-C63D-400D-9F51-F22A8E35CAD8}" name="data" displayName="data" ref="A1:T110" totalsRowShown="0" headerRowDxfId="40" dataDxfId="38" headerRowBorderDxfId="39">
  <tableColumns count="20">
    <tableColumn id="1" xr3:uid="{740DC173-AAC9-4239-A44E-C43F8517304D}" name="asset_class" dataDxfId="37"/>
    <tableColumn id="2" xr3:uid="{A3BC3BB8-0420-458E-AECD-FD567519FA40}" name="region" dataDxfId="36"/>
    <tableColumn id="3" xr3:uid="{0E50B2E3-0362-41DB-ACC2-478CC6F618A4}" name="factor_name" dataDxfId="35"/>
    <tableColumn id="11" xr3:uid="{C400A641-F032-4829-A2CD-62831D657B37}" name="source" dataDxfId="34"/>
    <tableColumn id="12" xr3:uid="{BC682952-ADA8-4869-A16F-B9E7BC86E430}" name="diffusion_type" dataDxfId="33"/>
    <tableColumn id="16" xr3:uid="{A99CC35E-FB67-451C-BF9C-DA8D933B1B0C}" name="multiplier" dataDxfId="32">
      <calculatedColumnFormula array="1">_xlfn.SWITCH(data[[#This Row],[diffusion_type]],"lognormal",0.0001,"normal",-0.01)*IF(data[[#This Row],[asset_class]]="Vol",1,1)</calculatedColumnFormula>
    </tableColumn>
    <tableColumn id="8" xr3:uid="{02943B27-7FCB-4450-B8E0-CF0DB6CF5CCA}" name="factor_name_new" dataDxfId="31"/>
    <tableColumn id="4" xr3:uid="{D181BF84-863F-4FD0-B518-14EA5B0FB18E}" name="description_override" dataDxfId="30"/>
    <tableColumn id="6" xr3:uid="{1C40DF9B-2910-4DE6-A188-563938E39797}" name="Description_GPT" dataDxfId="29"/>
    <tableColumn id="5" xr3:uid="{1806E074-6CB5-47AB-8FA3-EF0F6E429062}" name="Underlying" dataDxfId="28"/>
    <tableColumn id="7" xr3:uid="{21539C17-C1CC-4FA9-A0E1-A2F8FF8AB52C}" name="Active" dataDxfId="27"/>
    <tableColumn id="37" xr3:uid="{DE50B7AE-5F67-471C-BE48-8BFA5076EDB0}" name="hyper_factor" dataDxfId="26"/>
    <tableColumn id="10" xr3:uid="{494805E4-EBB6-47FD-9BC2-8DAD9FB9D3FA}" name="composite" dataDxfId="25"/>
    <tableColumn id="14" xr3:uid="{608FE572-4016-436E-8625-08926F3A2371}" name="client" dataDxfId="24"/>
    <tableColumn id="13" xr3:uid="{64EF0381-B0C5-4226-B34E-0F9752A4A840}" name="ticker" dataDxfId="23">
      <calculatedColumnFormula>data[[#This Row],[factor_name]]</calculatedColumnFormula>
    </tableColumn>
    <tableColumn id="9" xr3:uid="{5A601067-D384-419C-A711-AD3034F77E28}" name="description" dataDxfId="22">
      <calculatedColumnFormula array="1">_xlfn.IFS(data[[#This Row],[description_override]]&lt;&gt;"",data[[#This Row],[description_override]],data[[#This Row],[Description_GPT]]&lt;&gt;"",data[[#This Row],[Description_GPT]],data[[#This Row],[Underlying]]&lt;&gt;"",data[[#This Row],[Underlying]],TRUE,"-")</calculatedColumnFormula>
    </tableColumn>
    <tableColumn id="18" xr3:uid="{073BDADC-3AC0-4FF9-9654-A316B2345A90}" name="short_name_yf" dataDxfId="21">
      <calculatedColumnFormula>_xlfn.XLOOKUP(data[[#This Row],[ticker]],yf_desc[ticker],yf_desc[shortName],"-")</calculatedColumnFormula>
    </tableColumn>
    <tableColumn id="19" xr3:uid="{3A563104-B6B0-465C-9D22-154F5FEA1B83}" name="long_name_yf" dataDxfId="20">
      <calculatedColumnFormula>_xlfn.XLOOKUP(data[[#This Row],[ticker]],yf_desc[ticker],yf_desc[longName],"-")</calculatedColumnFormula>
    </tableColumn>
    <tableColumn id="17" xr3:uid="{A3F200A1-E769-49BA-8121-88EAA1180E80}" name="summary_yf" dataDxfId="19">
      <calculatedColumnFormula>_xlfn.XLOOKUP(data[[#This Row],[ticker]],yf_desc[ticker],yf_desc[longBusinessSummary],"-")</calculatedColumnFormula>
    </tableColumn>
    <tableColumn id="15" xr3:uid="{D49341AB-DA48-473E-8CCB-3A3D04AED743}" name="note" dataDxfId="18"/>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18301C-859F-40B7-9C3E-90E8F0495E68}" name="data_old" displayName="data_old" ref="A1:I45" totalsRowShown="0" headerRowDxfId="17" dataDxfId="16">
  <autoFilter ref="A1:I45" xr:uid="{6DAD1482-C63D-400D-9F51-F22A8E35CAD8}"/>
  <tableColumns count="9">
    <tableColumn id="1" xr3:uid="{B19D2B17-9AC9-4F1B-B32E-D4F72AAE469F}" name="asset_class" dataDxfId="15"/>
    <tableColumn id="2" xr3:uid="{2C7CF29D-8E72-4B0C-A212-31F2A25D75C9}" name="region" dataDxfId="14"/>
    <tableColumn id="3" xr3:uid="{C7E89EEC-2B5D-4C94-9327-1AC8E33DE708}" name="factor_name" dataDxfId="13"/>
    <tableColumn id="8" xr3:uid="{B3F9004A-8BEB-463E-A746-8189A2AC2B3E}" name="factor_name_new" dataDxfId="12"/>
    <tableColumn id="4" xr3:uid="{51CD7FB3-58FE-4906-B73C-7726C0A9C471}" name="description_override" dataDxfId="11"/>
    <tableColumn id="6" xr3:uid="{3CFF990B-3164-4533-821F-08CE7C6D82CA}" name="Description_GPT" dataDxfId="10"/>
    <tableColumn id="5" xr3:uid="{DD86D53E-A9B4-4387-ABF9-F2625E77982D}" name="Underlying" dataDxfId="9"/>
    <tableColumn id="7" xr3:uid="{D56FFF9A-72FF-42A4-B3D2-2F27AB16AF7A}" name="Active" dataDxfId="8"/>
    <tableColumn id="9" xr3:uid="{8476DFDE-B4B1-4FD9-99B4-DF1F2ABBD7D5}" name="description" dataDxfId="7">
      <calculatedColumnFormula>IF(data_old[[#This Row],[description_override]]="",data_old[[#This Row],[Description_GPT]],data_old[[#This Row],[description_override]])</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81C3-35A2-4C92-A3A4-30A9105A6D5B}">
  <sheetPr codeName="Sheet1"/>
  <dimension ref="A1:G81"/>
  <sheetViews>
    <sheetView showGridLines="0" workbookViewId="0"/>
  </sheetViews>
  <sheetFormatPr defaultRowHeight="15" x14ac:dyDescent="0.25"/>
  <cols>
    <col min="4" max="4" width="14.7109375" bestFit="1" customWidth="1"/>
  </cols>
  <sheetData>
    <row r="1" spans="1:7" x14ac:dyDescent="0.25">
      <c r="A1" t="s">
        <v>315</v>
      </c>
      <c r="B1" t="s">
        <v>316</v>
      </c>
      <c r="C1" t="s">
        <v>320</v>
      </c>
      <c r="D1" t="s">
        <v>19</v>
      </c>
      <c r="E1" t="s">
        <v>2</v>
      </c>
      <c r="G1" t="s">
        <v>283</v>
      </c>
    </row>
    <row r="2" spans="1:7" x14ac:dyDescent="0.25">
      <c r="A2" t="s">
        <v>39</v>
      </c>
      <c r="B2" t="s">
        <v>40</v>
      </c>
      <c r="C2" t="s">
        <v>39</v>
      </c>
      <c r="D2" t="s">
        <v>138</v>
      </c>
      <c r="E2" t="s">
        <v>0</v>
      </c>
      <c r="F2" t="s">
        <v>0</v>
      </c>
    </row>
    <row r="3" spans="1:7" x14ac:dyDescent="0.25">
      <c r="A3" t="s">
        <v>39</v>
      </c>
      <c r="B3" t="s">
        <v>40</v>
      </c>
      <c r="C3" t="s">
        <v>39</v>
      </c>
      <c r="D3" t="s">
        <v>139</v>
      </c>
      <c r="E3" t="s">
        <v>1</v>
      </c>
      <c r="F3" t="s">
        <v>1</v>
      </c>
    </row>
    <row r="4" spans="1:7" x14ac:dyDescent="0.25">
      <c r="A4" t="s">
        <v>39</v>
      </c>
      <c r="B4" t="s">
        <v>40</v>
      </c>
      <c r="C4" t="s">
        <v>39</v>
      </c>
      <c r="D4" t="s">
        <v>154</v>
      </c>
      <c r="E4" t="s">
        <v>172</v>
      </c>
      <c r="F4" t="s">
        <v>284</v>
      </c>
    </row>
    <row r="5" spans="1:7" x14ac:dyDescent="0.25">
      <c r="A5" t="s">
        <v>39</v>
      </c>
      <c r="B5" t="s">
        <v>40</v>
      </c>
      <c r="C5" t="s">
        <v>39</v>
      </c>
      <c r="D5" t="s">
        <v>140</v>
      </c>
      <c r="E5" t="s">
        <v>6</v>
      </c>
      <c r="F5" t="s">
        <v>6</v>
      </c>
    </row>
    <row r="6" spans="1:7" x14ac:dyDescent="0.25">
      <c r="A6" t="s">
        <v>39</v>
      </c>
      <c r="B6" t="s">
        <v>40</v>
      </c>
      <c r="C6" t="s">
        <v>39</v>
      </c>
      <c r="D6" t="s">
        <v>159</v>
      </c>
      <c r="E6" t="s">
        <v>173</v>
      </c>
      <c r="F6" t="s">
        <v>173</v>
      </c>
    </row>
    <row r="7" spans="1:7" x14ac:dyDescent="0.25">
      <c r="A7" t="s">
        <v>39</v>
      </c>
      <c r="B7" t="s">
        <v>40</v>
      </c>
      <c r="C7" t="s">
        <v>321</v>
      </c>
      <c r="D7" t="s">
        <v>160</v>
      </c>
      <c r="E7" t="s">
        <v>174</v>
      </c>
      <c r="F7" t="s">
        <v>174</v>
      </c>
    </row>
    <row r="8" spans="1:7" x14ac:dyDescent="0.25">
      <c r="A8" t="s">
        <v>39</v>
      </c>
      <c r="B8" t="s">
        <v>40</v>
      </c>
      <c r="C8" t="s">
        <v>321</v>
      </c>
      <c r="D8" t="s">
        <v>161</v>
      </c>
      <c r="E8" t="s">
        <v>175</v>
      </c>
      <c r="F8" t="s">
        <v>175</v>
      </c>
    </row>
    <row r="9" spans="1:7" x14ac:dyDescent="0.25">
      <c r="A9" t="s">
        <v>39</v>
      </c>
      <c r="B9" t="s">
        <v>40</v>
      </c>
      <c r="C9" t="s">
        <v>321</v>
      </c>
      <c r="D9" t="s">
        <v>162</v>
      </c>
      <c r="E9" t="s">
        <v>176</v>
      </c>
      <c r="F9" t="s">
        <v>176</v>
      </c>
      <c r="G9">
        <v>0</v>
      </c>
    </row>
    <row r="10" spans="1:7" x14ac:dyDescent="0.25">
      <c r="A10" t="s">
        <v>39</v>
      </c>
      <c r="B10" t="s">
        <v>40</v>
      </c>
      <c r="C10" t="s">
        <v>321</v>
      </c>
      <c r="D10" t="s">
        <v>163</v>
      </c>
      <c r="E10" t="s">
        <v>177</v>
      </c>
      <c r="F10" t="s">
        <v>177</v>
      </c>
    </row>
    <row r="11" spans="1:7" x14ac:dyDescent="0.25">
      <c r="A11" t="s">
        <v>39</v>
      </c>
      <c r="B11" t="s">
        <v>40</v>
      </c>
      <c r="C11" t="s">
        <v>321</v>
      </c>
      <c r="D11" t="s">
        <v>164</v>
      </c>
      <c r="E11" t="s">
        <v>342</v>
      </c>
      <c r="F11" t="s">
        <v>342</v>
      </c>
    </row>
    <row r="12" spans="1:7" x14ac:dyDescent="0.25">
      <c r="A12" t="s">
        <v>39</v>
      </c>
      <c r="B12" t="s">
        <v>40</v>
      </c>
      <c r="C12" t="s">
        <v>321</v>
      </c>
      <c r="D12" t="s">
        <v>165</v>
      </c>
      <c r="E12" t="s">
        <v>178</v>
      </c>
      <c r="F12" t="s">
        <v>178</v>
      </c>
    </row>
    <row r="13" spans="1:7" x14ac:dyDescent="0.25">
      <c r="A13" t="s">
        <v>39</v>
      </c>
      <c r="B13" t="s">
        <v>40</v>
      </c>
      <c r="C13" t="s">
        <v>321</v>
      </c>
      <c r="D13" t="s">
        <v>166</v>
      </c>
      <c r="E13" t="s">
        <v>179</v>
      </c>
      <c r="F13" t="s">
        <v>179</v>
      </c>
    </row>
    <row r="14" spans="1:7" x14ac:dyDescent="0.25">
      <c r="A14" t="s">
        <v>39</v>
      </c>
      <c r="B14" t="s">
        <v>40</v>
      </c>
      <c r="C14" t="s">
        <v>321</v>
      </c>
      <c r="D14" t="s">
        <v>167</v>
      </c>
      <c r="E14" t="s">
        <v>180</v>
      </c>
      <c r="F14" t="s">
        <v>180</v>
      </c>
    </row>
    <row r="15" spans="1:7" x14ac:dyDescent="0.25">
      <c r="A15" t="s">
        <v>39</v>
      </c>
      <c r="B15" t="s">
        <v>40</v>
      </c>
      <c r="C15" t="s">
        <v>321</v>
      </c>
      <c r="D15" t="s">
        <v>168</v>
      </c>
      <c r="E15" t="s">
        <v>181</v>
      </c>
      <c r="F15" t="s">
        <v>181</v>
      </c>
    </row>
    <row r="16" spans="1:7" x14ac:dyDescent="0.25">
      <c r="A16" t="s">
        <v>39</v>
      </c>
      <c r="B16" t="s">
        <v>40</v>
      </c>
      <c r="D16" t="s">
        <v>169</v>
      </c>
      <c r="E16" t="s">
        <v>182</v>
      </c>
      <c r="F16" t="s">
        <v>182</v>
      </c>
    </row>
    <row r="17" spans="1:7" x14ac:dyDescent="0.25">
      <c r="A17" t="s">
        <v>39</v>
      </c>
      <c r="B17" t="s">
        <v>40</v>
      </c>
      <c r="D17" t="s">
        <v>170</v>
      </c>
      <c r="E17" t="s">
        <v>183</v>
      </c>
      <c r="F17" t="s">
        <v>285</v>
      </c>
    </row>
    <row r="18" spans="1:7" x14ac:dyDescent="0.25">
      <c r="A18" t="s">
        <v>39</v>
      </c>
      <c r="B18" t="s">
        <v>40</v>
      </c>
      <c r="D18" t="s">
        <v>171</v>
      </c>
      <c r="E18" t="s">
        <v>184</v>
      </c>
      <c r="F18" t="s">
        <v>286</v>
      </c>
    </row>
    <row r="19" spans="1:7" x14ac:dyDescent="0.25">
      <c r="A19" t="s">
        <v>39</v>
      </c>
      <c r="B19" t="s">
        <v>68</v>
      </c>
      <c r="D19" t="s">
        <v>150</v>
      </c>
      <c r="E19" t="s">
        <v>8</v>
      </c>
      <c r="F19" t="s">
        <v>8</v>
      </c>
    </row>
    <row r="20" spans="1:7" x14ac:dyDescent="0.25">
      <c r="A20" t="s">
        <v>39</v>
      </c>
      <c r="B20" t="s">
        <v>68</v>
      </c>
      <c r="D20" t="s">
        <v>155</v>
      </c>
      <c r="E20" t="s">
        <v>156</v>
      </c>
      <c r="F20" t="s">
        <v>156</v>
      </c>
    </row>
    <row r="21" spans="1:7" x14ac:dyDescent="0.25">
      <c r="A21" t="s">
        <v>39</v>
      </c>
      <c r="B21" t="s">
        <v>68</v>
      </c>
      <c r="D21" t="s">
        <v>157</v>
      </c>
      <c r="E21" t="s">
        <v>84</v>
      </c>
      <c r="F21" t="s">
        <v>84</v>
      </c>
    </row>
    <row r="22" spans="1:7" x14ac:dyDescent="0.25">
      <c r="A22" t="s">
        <v>39</v>
      </c>
      <c r="B22" t="s">
        <v>68</v>
      </c>
      <c r="D22" t="s">
        <v>158</v>
      </c>
      <c r="E22" t="s">
        <v>95</v>
      </c>
      <c r="F22" t="s">
        <v>95</v>
      </c>
    </row>
    <row r="23" spans="1:7" x14ac:dyDescent="0.25">
      <c r="A23" t="s">
        <v>39</v>
      </c>
      <c r="B23" t="s">
        <v>68</v>
      </c>
      <c r="D23" t="s">
        <v>185</v>
      </c>
      <c r="E23" t="s">
        <v>195</v>
      </c>
      <c r="F23" t="s">
        <v>287</v>
      </c>
    </row>
    <row r="24" spans="1:7" x14ac:dyDescent="0.25">
      <c r="A24" t="s">
        <v>39</v>
      </c>
      <c r="B24" t="s">
        <v>71</v>
      </c>
      <c r="D24" t="s">
        <v>186</v>
      </c>
      <c r="E24" t="s">
        <v>77</v>
      </c>
      <c r="F24" t="s">
        <v>77</v>
      </c>
    </row>
    <row r="25" spans="1:7" x14ac:dyDescent="0.25">
      <c r="A25" t="s">
        <v>39</v>
      </c>
      <c r="B25" t="s">
        <v>71</v>
      </c>
      <c r="D25" t="s">
        <v>187</v>
      </c>
      <c r="E25" t="s">
        <v>142</v>
      </c>
      <c r="F25" t="s">
        <v>142</v>
      </c>
    </row>
    <row r="26" spans="1:7" x14ac:dyDescent="0.25">
      <c r="A26" t="s">
        <v>39</v>
      </c>
      <c r="B26" t="s">
        <v>74</v>
      </c>
      <c r="D26" t="s">
        <v>188</v>
      </c>
      <c r="E26" t="s">
        <v>288</v>
      </c>
      <c r="F26" t="s">
        <v>288</v>
      </c>
    </row>
    <row r="27" spans="1:7" x14ac:dyDescent="0.25">
      <c r="A27" t="s">
        <v>39</v>
      </c>
      <c r="B27" t="s">
        <v>74</v>
      </c>
      <c r="D27" t="s">
        <v>189</v>
      </c>
      <c r="E27" t="s">
        <v>196</v>
      </c>
      <c r="F27" t="s">
        <v>289</v>
      </c>
    </row>
    <row r="28" spans="1:7" x14ac:dyDescent="0.25">
      <c r="A28" t="s">
        <v>39</v>
      </c>
      <c r="B28" t="s">
        <v>74</v>
      </c>
      <c r="D28" t="s">
        <v>190</v>
      </c>
      <c r="E28" t="s">
        <v>197</v>
      </c>
      <c r="F28" t="s">
        <v>290</v>
      </c>
    </row>
    <row r="29" spans="1:7" x14ac:dyDescent="0.25">
      <c r="A29" t="s">
        <v>39</v>
      </c>
      <c r="B29" t="s">
        <v>74</v>
      </c>
      <c r="D29" t="s">
        <v>191</v>
      </c>
      <c r="E29" t="s">
        <v>198</v>
      </c>
      <c r="F29" t="s">
        <v>198</v>
      </c>
      <c r="G29">
        <v>0</v>
      </c>
    </row>
    <row r="30" spans="1:7" x14ac:dyDescent="0.25">
      <c r="A30" t="s">
        <v>39</v>
      </c>
      <c r="B30" t="s">
        <v>74</v>
      </c>
      <c r="D30" t="s">
        <v>192</v>
      </c>
      <c r="E30" t="s">
        <v>82</v>
      </c>
      <c r="F30" t="s">
        <v>82</v>
      </c>
    </row>
    <row r="31" spans="1:7" x14ac:dyDescent="0.25">
      <c r="A31" t="s">
        <v>39</v>
      </c>
      <c r="B31" t="s">
        <v>74</v>
      </c>
      <c r="D31" t="s">
        <v>194</v>
      </c>
      <c r="E31" t="s">
        <v>80</v>
      </c>
      <c r="F31" t="s">
        <v>80</v>
      </c>
    </row>
    <row r="32" spans="1:7" x14ac:dyDescent="0.25">
      <c r="A32" t="s">
        <v>39</v>
      </c>
      <c r="B32" t="s">
        <v>74</v>
      </c>
      <c r="D32" t="s">
        <v>193</v>
      </c>
      <c r="E32" t="s">
        <v>199</v>
      </c>
      <c r="F32" t="s">
        <v>199</v>
      </c>
    </row>
    <row r="33" spans="1:7" x14ac:dyDescent="0.25">
      <c r="A33" t="s">
        <v>46</v>
      </c>
      <c r="B33" t="s">
        <v>40</v>
      </c>
      <c r="D33" t="s">
        <v>200</v>
      </c>
      <c r="E33" t="s">
        <v>9</v>
      </c>
      <c r="F33" t="s">
        <v>291</v>
      </c>
    </row>
    <row r="34" spans="1:7" x14ac:dyDescent="0.25">
      <c r="A34" t="s">
        <v>46</v>
      </c>
      <c r="B34" t="s">
        <v>40</v>
      </c>
      <c r="D34" t="s">
        <v>201</v>
      </c>
      <c r="E34" t="s">
        <v>11</v>
      </c>
      <c r="F34" t="s">
        <v>292</v>
      </c>
    </row>
    <row r="35" spans="1:7" x14ac:dyDescent="0.25">
      <c r="A35" t="s">
        <v>46</v>
      </c>
      <c r="B35" t="s">
        <v>40</v>
      </c>
      <c r="D35" t="s">
        <v>202</v>
      </c>
      <c r="E35" t="s">
        <v>10</v>
      </c>
      <c r="F35" t="s">
        <v>10</v>
      </c>
    </row>
    <row r="36" spans="1:7" x14ac:dyDescent="0.25">
      <c r="A36" t="s">
        <v>46</v>
      </c>
      <c r="B36" t="s">
        <v>40</v>
      </c>
      <c r="D36" t="s">
        <v>203</v>
      </c>
      <c r="E36" t="s">
        <v>12</v>
      </c>
      <c r="F36" t="s">
        <v>12</v>
      </c>
    </row>
    <row r="37" spans="1:7" x14ac:dyDescent="0.25">
      <c r="A37" t="s">
        <v>46</v>
      </c>
      <c r="B37" t="s">
        <v>40</v>
      </c>
      <c r="D37" t="s">
        <v>204</v>
      </c>
      <c r="E37" t="s">
        <v>205</v>
      </c>
      <c r="F37" t="s">
        <v>293</v>
      </c>
      <c r="G37">
        <v>0</v>
      </c>
    </row>
    <row r="38" spans="1:7" x14ac:dyDescent="0.25">
      <c r="A38" t="s">
        <v>46</v>
      </c>
      <c r="B38" t="s">
        <v>68</v>
      </c>
      <c r="D38" t="s">
        <v>206</v>
      </c>
      <c r="E38" t="s">
        <v>209</v>
      </c>
      <c r="F38" t="s">
        <v>294</v>
      </c>
    </row>
    <row r="39" spans="1:7" x14ac:dyDescent="0.25">
      <c r="A39" t="s">
        <v>46</v>
      </c>
      <c r="B39" t="s">
        <v>68</v>
      </c>
      <c r="D39" t="s">
        <v>207</v>
      </c>
      <c r="E39" t="s">
        <v>210</v>
      </c>
      <c r="F39" t="s">
        <v>295</v>
      </c>
    </row>
    <row r="40" spans="1:7" x14ac:dyDescent="0.25">
      <c r="A40" t="s">
        <v>46</v>
      </c>
      <c r="B40" t="s">
        <v>68</v>
      </c>
      <c r="D40" t="s">
        <v>208</v>
      </c>
      <c r="E40" t="s">
        <v>211</v>
      </c>
      <c r="F40" t="s">
        <v>296</v>
      </c>
    </row>
    <row r="41" spans="1:7" x14ac:dyDescent="0.25">
      <c r="A41" t="s">
        <v>128</v>
      </c>
      <c r="B41" t="s">
        <v>40</v>
      </c>
      <c r="D41" t="s">
        <v>212</v>
      </c>
      <c r="E41" t="s">
        <v>218</v>
      </c>
      <c r="F41" t="s">
        <v>218</v>
      </c>
    </row>
    <row r="42" spans="1:7" x14ac:dyDescent="0.25">
      <c r="A42" t="s">
        <v>128</v>
      </c>
      <c r="B42" t="s">
        <v>40</v>
      </c>
      <c r="D42" t="s">
        <v>213</v>
      </c>
      <c r="E42" t="s">
        <v>51</v>
      </c>
      <c r="F42" t="s">
        <v>51</v>
      </c>
      <c r="G42">
        <v>0</v>
      </c>
    </row>
    <row r="43" spans="1:7" x14ac:dyDescent="0.25">
      <c r="A43" t="s">
        <v>128</v>
      </c>
      <c r="B43" t="s">
        <v>40</v>
      </c>
      <c r="D43" t="s">
        <v>214</v>
      </c>
      <c r="E43" t="s">
        <v>131</v>
      </c>
      <c r="F43" t="s">
        <v>131</v>
      </c>
    </row>
    <row r="44" spans="1:7" x14ac:dyDescent="0.25">
      <c r="A44" t="s">
        <v>128</v>
      </c>
      <c r="B44" t="s">
        <v>40</v>
      </c>
      <c r="D44" t="s">
        <v>215</v>
      </c>
      <c r="E44" t="s">
        <v>49</v>
      </c>
      <c r="F44" t="s">
        <v>49</v>
      </c>
    </row>
    <row r="45" spans="1:7" x14ac:dyDescent="0.25">
      <c r="A45" t="s">
        <v>128</v>
      </c>
      <c r="B45" t="s">
        <v>40</v>
      </c>
      <c r="D45" t="s">
        <v>216</v>
      </c>
      <c r="E45" t="s">
        <v>135</v>
      </c>
      <c r="F45" t="s">
        <v>135</v>
      </c>
    </row>
    <row r="46" spans="1:7" x14ac:dyDescent="0.25">
      <c r="A46" t="s">
        <v>128</v>
      </c>
      <c r="B46" t="s">
        <v>40</v>
      </c>
      <c r="D46" t="s">
        <v>217</v>
      </c>
      <c r="E46" t="s">
        <v>219</v>
      </c>
      <c r="F46" t="s">
        <v>219</v>
      </c>
    </row>
    <row r="47" spans="1:7" x14ac:dyDescent="0.25">
      <c r="A47" t="s">
        <v>128</v>
      </c>
      <c r="B47" t="s">
        <v>40</v>
      </c>
      <c r="D47" t="s">
        <v>221</v>
      </c>
      <c r="E47" t="s">
        <v>236</v>
      </c>
    </row>
    <row r="48" spans="1:7" x14ac:dyDescent="0.25">
      <c r="A48" t="s">
        <v>128</v>
      </c>
      <c r="B48" t="s">
        <v>40</v>
      </c>
      <c r="D48" t="s">
        <v>222</v>
      </c>
      <c r="E48" t="s">
        <v>237</v>
      </c>
    </row>
    <row r="49" spans="1:6" x14ac:dyDescent="0.25">
      <c r="A49" t="s">
        <v>128</v>
      </c>
      <c r="B49" t="s">
        <v>40</v>
      </c>
      <c r="D49" t="s">
        <v>223</v>
      </c>
      <c r="E49" t="s">
        <v>238</v>
      </c>
    </row>
    <row r="50" spans="1:6" x14ac:dyDescent="0.25">
      <c r="A50" t="s">
        <v>128</v>
      </c>
      <c r="B50" t="s">
        <v>40</v>
      </c>
      <c r="D50" t="s">
        <v>224</v>
      </c>
      <c r="E50" t="s">
        <v>239</v>
      </c>
    </row>
    <row r="51" spans="1:6" x14ac:dyDescent="0.25">
      <c r="A51" t="s">
        <v>128</v>
      </c>
      <c r="B51" t="s">
        <v>40</v>
      </c>
      <c r="D51" t="s">
        <v>225</v>
      </c>
      <c r="E51" t="s">
        <v>240</v>
      </c>
    </row>
    <row r="52" spans="1:6" x14ac:dyDescent="0.25">
      <c r="A52" t="s">
        <v>128</v>
      </c>
      <c r="B52" t="s">
        <v>68</v>
      </c>
      <c r="D52" t="s">
        <v>226</v>
      </c>
      <c r="E52" t="s">
        <v>241</v>
      </c>
    </row>
    <row r="53" spans="1:6" x14ac:dyDescent="0.25">
      <c r="A53" t="s">
        <v>128</v>
      </c>
      <c r="B53" t="s">
        <v>68</v>
      </c>
      <c r="D53" t="s">
        <v>227</v>
      </c>
      <c r="E53" t="s">
        <v>242</v>
      </c>
    </row>
    <row r="54" spans="1:6" x14ac:dyDescent="0.25">
      <c r="A54" t="s">
        <v>128</v>
      </c>
      <c r="B54" t="s">
        <v>68</v>
      </c>
      <c r="D54" t="s">
        <v>228</v>
      </c>
      <c r="E54" t="s">
        <v>243</v>
      </c>
    </row>
    <row r="55" spans="1:6" x14ac:dyDescent="0.25">
      <c r="A55" t="s">
        <v>128</v>
      </c>
      <c r="B55" t="s">
        <v>68</v>
      </c>
      <c r="D55" t="s">
        <v>229</v>
      </c>
      <c r="E55" t="s">
        <v>244</v>
      </c>
    </row>
    <row r="56" spans="1:6" x14ac:dyDescent="0.25">
      <c r="A56" t="s">
        <v>128</v>
      </c>
      <c r="B56" t="s">
        <v>68</v>
      </c>
      <c r="D56" t="s">
        <v>230</v>
      </c>
      <c r="E56" t="s">
        <v>245</v>
      </c>
    </row>
    <row r="57" spans="1:6" x14ac:dyDescent="0.25">
      <c r="A57" t="s">
        <v>128</v>
      </c>
      <c r="B57" t="s">
        <v>220</v>
      </c>
      <c r="D57" t="s">
        <v>231</v>
      </c>
      <c r="E57" t="s">
        <v>246</v>
      </c>
    </row>
    <row r="58" spans="1:6" x14ac:dyDescent="0.25">
      <c r="A58" t="s">
        <v>128</v>
      </c>
      <c r="B58" t="s">
        <v>220</v>
      </c>
      <c r="D58" t="s">
        <v>232</v>
      </c>
      <c r="E58" t="s">
        <v>247</v>
      </c>
    </row>
    <row r="59" spans="1:6" x14ac:dyDescent="0.25">
      <c r="A59" t="s">
        <v>128</v>
      </c>
      <c r="B59" t="s">
        <v>220</v>
      </c>
      <c r="D59" t="s">
        <v>233</v>
      </c>
      <c r="E59" t="s">
        <v>248</v>
      </c>
    </row>
    <row r="60" spans="1:6" x14ac:dyDescent="0.25">
      <c r="A60" t="s">
        <v>128</v>
      </c>
      <c r="B60" t="s">
        <v>220</v>
      </c>
      <c r="D60" t="s">
        <v>234</v>
      </c>
      <c r="E60" t="s">
        <v>249</v>
      </c>
    </row>
    <row r="61" spans="1:6" x14ac:dyDescent="0.25">
      <c r="A61" t="s">
        <v>128</v>
      </c>
      <c r="B61" t="s">
        <v>220</v>
      </c>
      <c r="D61" t="s">
        <v>235</v>
      </c>
      <c r="E61" t="s">
        <v>250</v>
      </c>
    </row>
    <row r="62" spans="1:6" x14ac:dyDescent="0.25">
      <c r="A62" t="s">
        <v>65</v>
      </c>
      <c r="B62" t="s">
        <v>318</v>
      </c>
      <c r="D62" t="s">
        <v>147</v>
      </c>
      <c r="E62" t="s">
        <v>68</v>
      </c>
      <c r="F62" t="s">
        <v>297</v>
      </c>
    </row>
    <row r="63" spans="1:6" x14ac:dyDescent="0.25">
      <c r="A63" t="s">
        <v>65</v>
      </c>
      <c r="B63" t="s">
        <v>318</v>
      </c>
      <c r="D63" t="s">
        <v>266</v>
      </c>
      <c r="E63" t="s">
        <v>71</v>
      </c>
      <c r="F63" t="s">
        <v>298</v>
      </c>
    </row>
    <row r="64" spans="1:6" x14ac:dyDescent="0.25">
      <c r="A64" t="s">
        <v>65</v>
      </c>
      <c r="B64" t="s">
        <v>318</v>
      </c>
      <c r="D64" t="s">
        <v>267</v>
      </c>
      <c r="E64" t="s">
        <v>220</v>
      </c>
      <c r="F64" t="s">
        <v>299</v>
      </c>
    </row>
    <row r="65" spans="1:7" x14ac:dyDescent="0.25">
      <c r="A65" t="s">
        <v>65</v>
      </c>
      <c r="B65" t="s">
        <v>251</v>
      </c>
      <c r="D65" t="s">
        <v>268</v>
      </c>
      <c r="E65" t="s">
        <v>251</v>
      </c>
      <c r="F65" t="s">
        <v>300</v>
      </c>
    </row>
    <row r="66" spans="1:7" x14ac:dyDescent="0.25">
      <c r="A66" t="s">
        <v>65</v>
      </c>
      <c r="B66" t="s">
        <v>251</v>
      </c>
      <c r="D66" t="s">
        <v>269</v>
      </c>
      <c r="E66" t="s">
        <v>252</v>
      </c>
      <c r="F66" t="s">
        <v>301</v>
      </c>
    </row>
    <row r="67" spans="1:7" x14ac:dyDescent="0.25">
      <c r="A67" t="s">
        <v>65</v>
      </c>
      <c r="B67" t="s">
        <v>317</v>
      </c>
      <c r="D67" t="s">
        <v>270</v>
      </c>
      <c r="E67" t="s">
        <v>88</v>
      </c>
      <c r="F67" t="s">
        <v>302</v>
      </c>
    </row>
    <row r="68" spans="1:7" x14ac:dyDescent="0.25">
      <c r="A68" t="s">
        <v>65</v>
      </c>
      <c r="B68" t="s">
        <v>317</v>
      </c>
      <c r="D68" t="s">
        <v>271</v>
      </c>
      <c r="E68" t="s">
        <v>253</v>
      </c>
      <c r="F68" t="s">
        <v>303</v>
      </c>
    </row>
    <row r="69" spans="1:7" x14ac:dyDescent="0.25">
      <c r="A69" t="s">
        <v>65</v>
      </c>
      <c r="B69" t="s">
        <v>317</v>
      </c>
      <c r="D69" t="s">
        <v>272</v>
      </c>
      <c r="E69" t="s">
        <v>254</v>
      </c>
      <c r="F69" t="s">
        <v>304</v>
      </c>
    </row>
    <row r="70" spans="1:7" x14ac:dyDescent="0.25">
      <c r="A70" t="s">
        <v>65</v>
      </c>
      <c r="B70" t="s">
        <v>317</v>
      </c>
      <c r="D70" t="s">
        <v>273</v>
      </c>
      <c r="E70" t="s">
        <v>255</v>
      </c>
      <c r="F70" t="s">
        <v>305</v>
      </c>
    </row>
    <row r="71" spans="1:7" x14ac:dyDescent="0.25">
      <c r="A71" t="s">
        <v>65</v>
      </c>
      <c r="B71" t="s">
        <v>319</v>
      </c>
      <c r="D71" t="s">
        <v>274</v>
      </c>
      <c r="E71" t="s">
        <v>79</v>
      </c>
      <c r="F71" t="s">
        <v>306</v>
      </c>
    </row>
    <row r="72" spans="1:7" x14ac:dyDescent="0.25">
      <c r="A72" t="s">
        <v>65</v>
      </c>
      <c r="B72" t="s">
        <v>319</v>
      </c>
      <c r="D72" t="s">
        <v>275</v>
      </c>
      <c r="E72" t="s">
        <v>256</v>
      </c>
      <c r="F72" t="s">
        <v>307</v>
      </c>
      <c r="G72">
        <v>0</v>
      </c>
    </row>
    <row r="73" spans="1:7" x14ac:dyDescent="0.25">
      <c r="A73" t="s">
        <v>65</v>
      </c>
      <c r="B73" t="s">
        <v>319</v>
      </c>
      <c r="D73" t="s">
        <v>276</v>
      </c>
      <c r="E73" t="s">
        <v>257</v>
      </c>
      <c r="F73" t="s">
        <v>308</v>
      </c>
      <c r="G73">
        <v>0</v>
      </c>
    </row>
    <row r="74" spans="1:7" x14ac:dyDescent="0.25">
      <c r="A74" t="s">
        <v>65</v>
      </c>
      <c r="B74" t="s">
        <v>319</v>
      </c>
      <c r="D74" t="s">
        <v>277</v>
      </c>
      <c r="E74" t="s">
        <v>258</v>
      </c>
      <c r="F74" t="s">
        <v>309</v>
      </c>
      <c r="G74">
        <v>0</v>
      </c>
    </row>
    <row r="75" spans="1:7" x14ac:dyDescent="0.25">
      <c r="A75" t="s">
        <v>65</v>
      </c>
      <c r="B75" t="s">
        <v>74</v>
      </c>
      <c r="D75" t="s">
        <v>278</v>
      </c>
      <c r="E75" t="s">
        <v>259</v>
      </c>
      <c r="F75" t="s">
        <v>310</v>
      </c>
    </row>
    <row r="76" spans="1:7" x14ac:dyDescent="0.25">
      <c r="A76" t="s">
        <v>65</v>
      </c>
      <c r="B76" t="s">
        <v>74</v>
      </c>
      <c r="D76" t="s">
        <v>279</v>
      </c>
      <c r="E76" t="s">
        <v>260</v>
      </c>
      <c r="F76" t="s">
        <v>311</v>
      </c>
    </row>
    <row r="77" spans="1:7" x14ac:dyDescent="0.25">
      <c r="A77" t="s">
        <v>65</v>
      </c>
      <c r="B77" t="s">
        <v>74</v>
      </c>
      <c r="D77" t="s">
        <v>280</v>
      </c>
      <c r="E77" t="s">
        <v>261</v>
      </c>
      <c r="F77" t="s">
        <v>312</v>
      </c>
    </row>
    <row r="78" spans="1:7" x14ac:dyDescent="0.25">
      <c r="A78" t="s">
        <v>65</v>
      </c>
      <c r="B78" t="s">
        <v>74</v>
      </c>
      <c r="D78" t="s">
        <v>281</v>
      </c>
      <c r="E78" t="s">
        <v>262</v>
      </c>
      <c r="F78" t="s">
        <v>313</v>
      </c>
    </row>
    <row r="79" spans="1:7" x14ac:dyDescent="0.25">
      <c r="A79" t="s">
        <v>56</v>
      </c>
      <c r="B79" t="s">
        <v>56</v>
      </c>
      <c r="D79" t="s">
        <v>146</v>
      </c>
      <c r="E79" t="s">
        <v>263</v>
      </c>
      <c r="F79" t="s">
        <v>57</v>
      </c>
    </row>
    <row r="80" spans="1:7" x14ac:dyDescent="0.25">
      <c r="A80" t="s">
        <v>56</v>
      </c>
      <c r="B80" t="s">
        <v>56</v>
      </c>
      <c r="D80" t="s">
        <v>282</v>
      </c>
      <c r="E80" t="s">
        <v>264</v>
      </c>
      <c r="F80" t="s">
        <v>61</v>
      </c>
    </row>
    <row r="81" spans="1:6" x14ac:dyDescent="0.25">
      <c r="A81" t="s">
        <v>56</v>
      </c>
      <c r="B81" t="s">
        <v>56</v>
      </c>
      <c r="D81" t="s">
        <v>265</v>
      </c>
      <c r="E81" t="s">
        <v>265</v>
      </c>
      <c r="F81" t="s">
        <v>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BA8-A8E6-40E1-8916-CA07A080AF7C}">
  <sheetPr codeName="Sheet2"/>
  <dimension ref="A1:E61"/>
  <sheetViews>
    <sheetView workbookViewId="0">
      <selection activeCell="E6" sqref="E6"/>
    </sheetView>
  </sheetViews>
  <sheetFormatPr defaultRowHeight="15" x14ac:dyDescent="0.25"/>
  <sheetData>
    <row r="1" spans="1:5" ht="30" x14ac:dyDescent="0.25">
      <c r="A1" s="6" t="s">
        <v>358</v>
      </c>
      <c r="B1" s="6" t="s">
        <v>359</v>
      </c>
      <c r="C1" s="6" t="s">
        <v>360</v>
      </c>
      <c r="D1" s="6" t="s">
        <v>21</v>
      </c>
      <c r="E1" s="6" t="s">
        <v>101</v>
      </c>
    </row>
    <row r="2" spans="1:5" ht="45" x14ac:dyDescent="0.25">
      <c r="A2" s="2" t="s">
        <v>39</v>
      </c>
      <c r="B2" s="2" t="s">
        <v>40</v>
      </c>
      <c r="C2" s="2" t="s">
        <v>4</v>
      </c>
      <c r="D2" s="2" t="s">
        <v>41</v>
      </c>
      <c r="E2" s="2" t="s">
        <v>24</v>
      </c>
    </row>
    <row r="3" spans="1:5" ht="45" x14ac:dyDescent="0.25">
      <c r="A3" s="2" t="s">
        <v>39</v>
      </c>
      <c r="B3" s="2" t="s">
        <v>40</v>
      </c>
      <c r="C3" s="2" t="s">
        <v>5</v>
      </c>
      <c r="D3" s="2" t="s">
        <v>42</v>
      </c>
      <c r="E3" s="2" t="s">
        <v>26</v>
      </c>
    </row>
    <row r="4" spans="1:5" ht="45" x14ac:dyDescent="0.25">
      <c r="A4" s="2" t="s">
        <v>39</v>
      </c>
      <c r="B4" s="2" t="s">
        <v>40</v>
      </c>
      <c r="C4" s="2" t="s">
        <v>7</v>
      </c>
      <c r="D4" s="2" t="s">
        <v>43</v>
      </c>
      <c r="E4" s="2" t="s">
        <v>28</v>
      </c>
    </row>
    <row r="5" spans="1:5" ht="90" x14ac:dyDescent="0.25">
      <c r="A5" s="2" t="s">
        <v>39</v>
      </c>
      <c r="B5" s="2" t="s">
        <v>40</v>
      </c>
      <c r="C5" s="2" t="s">
        <v>44</v>
      </c>
      <c r="D5" s="2" t="s">
        <v>45</v>
      </c>
      <c r="E5" s="2" t="s">
        <v>102</v>
      </c>
    </row>
    <row r="6" spans="1:5" ht="75" x14ac:dyDescent="0.25">
      <c r="A6" s="2" t="s">
        <v>39</v>
      </c>
      <c r="B6" s="2" t="s">
        <v>40</v>
      </c>
      <c r="C6" s="2" t="s">
        <v>361</v>
      </c>
      <c r="D6" s="2" t="s">
        <v>362</v>
      </c>
      <c r="E6" s="2" t="s">
        <v>363</v>
      </c>
    </row>
    <row r="7" spans="1:5" ht="60" x14ac:dyDescent="0.25">
      <c r="A7" s="2" t="s">
        <v>39</v>
      </c>
      <c r="B7" s="2" t="s">
        <v>40</v>
      </c>
      <c r="C7" s="2" t="s">
        <v>364</v>
      </c>
      <c r="D7" s="2" t="s">
        <v>365</v>
      </c>
      <c r="E7" s="2" t="s">
        <v>366</v>
      </c>
    </row>
    <row r="8" spans="1:5" ht="90" x14ac:dyDescent="0.25">
      <c r="A8" s="2" t="s">
        <v>39</v>
      </c>
      <c r="B8" s="2" t="s">
        <v>40</v>
      </c>
      <c r="C8" s="2" t="s">
        <v>367</v>
      </c>
      <c r="D8" s="2" t="s">
        <v>368</v>
      </c>
      <c r="E8" s="2" t="s">
        <v>369</v>
      </c>
    </row>
    <row r="9" spans="1:5" ht="75" x14ac:dyDescent="0.25">
      <c r="A9" s="2" t="s">
        <v>39</v>
      </c>
      <c r="B9" s="2" t="s">
        <v>40</v>
      </c>
      <c r="C9" s="2" t="s">
        <v>173</v>
      </c>
      <c r="D9" s="2" t="s">
        <v>370</v>
      </c>
      <c r="E9" s="2" t="s">
        <v>371</v>
      </c>
    </row>
    <row r="10" spans="1:5" ht="75" x14ac:dyDescent="0.25">
      <c r="A10" s="2" t="s">
        <v>39</v>
      </c>
      <c r="B10" s="2" t="s">
        <v>40</v>
      </c>
      <c r="C10" s="2" t="s">
        <v>174</v>
      </c>
      <c r="D10" s="2" t="s">
        <v>372</v>
      </c>
      <c r="E10" s="2" t="s">
        <v>373</v>
      </c>
    </row>
    <row r="11" spans="1:5" ht="75" x14ac:dyDescent="0.25">
      <c r="A11" s="2" t="s">
        <v>39</v>
      </c>
      <c r="B11" s="2" t="s">
        <v>40</v>
      </c>
      <c r="C11" s="2" t="s">
        <v>175</v>
      </c>
      <c r="D11" s="2" t="s">
        <v>374</v>
      </c>
      <c r="E11" s="2" t="s">
        <v>375</v>
      </c>
    </row>
    <row r="12" spans="1:5" ht="75" x14ac:dyDescent="0.25">
      <c r="A12" s="2" t="s">
        <v>39</v>
      </c>
      <c r="B12" s="2" t="s">
        <v>40</v>
      </c>
      <c r="C12" s="2" t="s">
        <v>176</v>
      </c>
      <c r="D12" s="2" t="s">
        <v>376</v>
      </c>
      <c r="E12" s="2" t="s">
        <v>377</v>
      </c>
    </row>
    <row r="13" spans="1:5" ht="90" x14ac:dyDescent="0.25">
      <c r="A13" s="2" t="s">
        <v>39</v>
      </c>
      <c r="B13" s="2" t="s">
        <v>40</v>
      </c>
      <c r="C13" s="2" t="s">
        <v>177</v>
      </c>
      <c r="D13" s="2" t="s">
        <v>378</v>
      </c>
      <c r="E13" s="2" t="s">
        <v>379</v>
      </c>
    </row>
    <row r="14" spans="1:5" ht="75" x14ac:dyDescent="0.25">
      <c r="A14" s="2" t="s">
        <v>39</v>
      </c>
      <c r="B14" s="2" t="s">
        <v>40</v>
      </c>
      <c r="C14" s="2" t="s">
        <v>342</v>
      </c>
      <c r="D14" s="2" t="s">
        <v>380</v>
      </c>
      <c r="E14" s="2" t="s">
        <v>381</v>
      </c>
    </row>
    <row r="15" spans="1:5" ht="105" x14ac:dyDescent="0.25">
      <c r="A15" s="2" t="s">
        <v>39</v>
      </c>
      <c r="B15" s="2" t="s">
        <v>40</v>
      </c>
      <c r="C15" s="2" t="s">
        <v>178</v>
      </c>
      <c r="D15" s="2" t="s">
        <v>382</v>
      </c>
      <c r="E15" s="2" t="s">
        <v>383</v>
      </c>
    </row>
    <row r="16" spans="1:5" ht="75" x14ac:dyDescent="0.25">
      <c r="A16" s="2" t="s">
        <v>39</v>
      </c>
      <c r="B16" s="2" t="s">
        <v>40</v>
      </c>
      <c r="C16" s="2" t="s">
        <v>179</v>
      </c>
      <c r="D16" s="2" t="s">
        <v>384</v>
      </c>
      <c r="E16" s="2" t="s">
        <v>385</v>
      </c>
    </row>
    <row r="17" spans="1:5" ht="90" x14ac:dyDescent="0.25">
      <c r="A17" s="2" t="s">
        <v>39</v>
      </c>
      <c r="B17" s="2" t="s">
        <v>40</v>
      </c>
      <c r="C17" s="2" t="s">
        <v>180</v>
      </c>
      <c r="D17" s="2" t="s">
        <v>386</v>
      </c>
      <c r="E17" s="2" t="s">
        <v>387</v>
      </c>
    </row>
    <row r="18" spans="1:5" ht="75" x14ac:dyDescent="0.25">
      <c r="A18" s="2" t="s">
        <v>39</v>
      </c>
      <c r="B18" s="2" t="s">
        <v>40</v>
      </c>
      <c r="C18" s="2" t="s">
        <v>181</v>
      </c>
      <c r="D18" s="2" t="s">
        <v>388</v>
      </c>
      <c r="E18" s="2" t="s">
        <v>389</v>
      </c>
    </row>
    <row r="19" spans="1:5" ht="105" x14ac:dyDescent="0.25">
      <c r="A19" s="2" t="s">
        <v>39</v>
      </c>
      <c r="B19" s="2" t="s">
        <v>40</v>
      </c>
      <c r="C19" s="2" t="s">
        <v>182</v>
      </c>
      <c r="D19" s="2" t="s">
        <v>390</v>
      </c>
      <c r="E19" s="2" t="s">
        <v>391</v>
      </c>
    </row>
    <row r="20" spans="1:5" ht="60" x14ac:dyDescent="0.25">
      <c r="A20" s="2" t="s">
        <v>39</v>
      </c>
      <c r="B20" s="2" t="s">
        <v>40</v>
      </c>
      <c r="C20" s="2" t="s">
        <v>285</v>
      </c>
      <c r="D20" s="2" t="s">
        <v>392</v>
      </c>
      <c r="E20" s="2" t="s">
        <v>393</v>
      </c>
    </row>
    <row r="21" spans="1:5" ht="60" x14ac:dyDescent="0.25">
      <c r="A21" s="2" t="s">
        <v>39</v>
      </c>
      <c r="B21" s="2" t="s">
        <v>68</v>
      </c>
      <c r="C21" s="2" t="s">
        <v>13</v>
      </c>
      <c r="D21" s="2" t="s">
        <v>149</v>
      </c>
      <c r="E21" s="2" t="s">
        <v>30</v>
      </c>
    </row>
    <row r="22" spans="1:5" ht="75" x14ac:dyDescent="0.25">
      <c r="A22" s="2" t="s">
        <v>39</v>
      </c>
      <c r="B22" s="2" t="s">
        <v>68</v>
      </c>
      <c r="C22" s="2" t="s">
        <v>156</v>
      </c>
      <c r="D22" s="2" t="s">
        <v>394</v>
      </c>
      <c r="E22" s="2" t="s">
        <v>395</v>
      </c>
    </row>
    <row r="23" spans="1:5" ht="75" x14ac:dyDescent="0.25">
      <c r="A23" s="2" t="s">
        <v>39</v>
      </c>
      <c r="B23" s="2" t="s">
        <v>68</v>
      </c>
      <c r="C23" s="2" t="s">
        <v>86</v>
      </c>
      <c r="D23" s="2" t="s">
        <v>87</v>
      </c>
      <c r="E23" s="2" t="s">
        <v>396</v>
      </c>
    </row>
    <row r="24" spans="1:5" ht="60" x14ac:dyDescent="0.25">
      <c r="A24" s="2" t="s">
        <v>39</v>
      </c>
      <c r="B24" s="2" t="s">
        <v>68</v>
      </c>
      <c r="C24" s="2" t="s">
        <v>84</v>
      </c>
      <c r="D24" s="2" t="s">
        <v>85</v>
      </c>
      <c r="E24" s="2" t="s">
        <v>118</v>
      </c>
    </row>
    <row r="25" spans="1:5" ht="45" x14ac:dyDescent="0.25">
      <c r="A25" s="2" t="s">
        <v>39</v>
      </c>
      <c r="B25" s="2" t="s">
        <v>68</v>
      </c>
      <c r="C25" s="2" t="s">
        <v>327</v>
      </c>
      <c r="D25" s="2" t="s">
        <v>94</v>
      </c>
      <c r="E25" s="2" t="s">
        <v>397</v>
      </c>
    </row>
    <row r="26" spans="1:5" ht="45" x14ac:dyDescent="0.25">
      <c r="A26" s="2" t="s">
        <v>39</v>
      </c>
      <c r="B26" s="2" t="s">
        <v>68</v>
      </c>
      <c r="C26" s="2" t="s">
        <v>95</v>
      </c>
      <c r="D26" s="2" t="s">
        <v>96</v>
      </c>
      <c r="E26" s="2" t="s">
        <v>123</v>
      </c>
    </row>
    <row r="27" spans="1:5" ht="45" x14ac:dyDescent="0.25">
      <c r="A27" s="2" t="s">
        <v>39</v>
      </c>
      <c r="B27" s="2" t="s">
        <v>68</v>
      </c>
      <c r="C27" s="2" t="s">
        <v>93</v>
      </c>
      <c r="D27" s="2" t="s">
        <v>94</v>
      </c>
      <c r="E27" s="2" t="s">
        <v>122</v>
      </c>
    </row>
    <row r="28" spans="1:5" ht="45" x14ac:dyDescent="0.25">
      <c r="A28" s="2" t="s">
        <v>39</v>
      </c>
      <c r="B28" s="2" t="s">
        <v>68</v>
      </c>
      <c r="C28" s="2" t="s">
        <v>330</v>
      </c>
      <c r="D28" s="2" t="s">
        <v>398</v>
      </c>
      <c r="E28" s="2" t="s">
        <v>399</v>
      </c>
    </row>
    <row r="29" spans="1:5" ht="60" x14ac:dyDescent="0.25">
      <c r="A29" s="2" t="s">
        <v>39</v>
      </c>
      <c r="B29" s="2" t="s">
        <v>68</v>
      </c>
      <c r="C29" s="2" t="s">
        <v>91</v>
      </c>
      <c r="D29" s="2" t="s">
        <v>92</v>
      </c>
      <c r="E29" s="2" t="s">
        <v>121</v>
      </c>
    </row>
    <row r="30" spans="1:5" ht="45" x14ac:dyDescent="0.25">
      <c r="A30" s="2" t="s">
        <v>39</v>
      </c>
      <c r="B30" s="2" t="s">
        <v>71</v>
      </c>
      <c r="C30" s="2" t="s">
        <v>324</v>
      </c>
      <c r="D30" s="2" t="s">
        <v>78</v>
      </c>
      <c r="E30" s="2" t="s">
        <v>115</v>
      </c>
    </row>
    <row r="31" spans="1:5" ht="75" x14ac:dyDescent="0.25">
      <c r="A31" s="2" t="s">
        <v>39</v>
      </c>
      <c r="B31" s="2" t="s">
        <v>71</v>
      </c>
      <c r="C31" s="2" t="s">
        <v>142</v>
      </c>
      <c r="D31" s="2" t="s">
        <v>143</v>
      </c>
      <c r="E31" s="2" t="s">
        <v>144</v>
      </c>
    </row>
    <row r="32" spans="1:5" ht="60" x14ac:dyDescent="0.25">
      <c r="A32" s="2" t="s">
        <v>39</v>
      </c>
      <c r="B32" s="2" t="s">
        <v>79</v>
      </c>
      <c r="C32" s="2" t="s">
        <v>80</v>
      </c>
      <c r="D32" s="2" t="s">
        <v>81</v>
      </c>
      <c r="E32" s="2" t="s">
        <v>116</v>
      </c>
    </row>
    <row r="33" spans="1:5" ht="105" x14ac:dyDescent="0.25">
      <c r="A33" s="2" t="s">
        <v>39</v>
      </c>
      <c r="B33" s="2" t="s">
        <v>79</v>
      </c>
      <c r="C33" s="2" t="s">
        <v>82</v>
      </c>
      <c r="D33" s="2" t="s">
        <v>83</v>
      </c>
      <c r="E33" s="2" t="s">
        <v>117</v>
      </c>
    </row>
    <row r="34" spans="1:5" ht="75" x14ac:dyDescent="0.25">
      <c r="A34" s="2" t="s">
        <v>39</v>
      </c>
      <c r="B34" s="2" t="s">
        <v>79</v>
      </c>
      <c r="C34" s="2" t="s">
        <v>400</v>
      </c>
      <c r="D34" s="2" t="s">
        <v>401</v>
      </c>
      <c r="E34" s="2" t="s">
        <v>402</v>
      </c>
    </row>
    <row r="35" spans="1:5" ht="90" x14ac:dyDescent="0.25">
      <c r="A35" s="2" t="s">
        <v>39</v>
      </c>
      <c r="B35" s="2" t="s">
        <v>79</v>
      </c>
      <c r="C35" s="2" t="s">
        <v>403</v>
      </c>
      <c r="D35" s="2" t="s">
        <v>404</v>
      </c>
      <c r="E35" s="2" t="s">
        <v>405</v>
      </c>
    </row>
    <row r="36" spans="1:5" ht="105" x14ac:dyDescent="0.25">
      <c r="A36" s="2" t="s">
        <v>46</v>
      </c>
      <c r="B36" s="2" t="s">
        <v>40</v>
      </c>
      <c r="C36" s="2" t="s">
        <v>10</v>
      </c>
      <c r="D36" s="2" t="s">
        <v>47</v>
      </c>
      <c r="E36" s="2" t="s">
        <v>103</v>
      </c>
    </row>
    <row r="37" spans="1:5" ht="105" x14ac:dyDescent="0.25">
      <c r="A37" s="2" t="s">
        <v>46</v>
      </c>
      <c r="B37" s="2" t="s">
        <v>40</v>
      </c>
      <c r="C37" s="2" t="s">
        <v>347</v>
      </c>
      <c r="D37" s="2" t="s">
        <v>406</v>
      </c>
      <c r="E37" s="2" t="s">
        <v>407</v>
      </c>
    </row>
    <row r="38" spans="1:5" ht="105" x14ac:dyDescent="0.25">
      <c r="A38" s="2" t="s">
        <v>46</v>
      </c>
      <c r="B38" s="2" t="s">
        <v>40</v>
      </c>
      <c r="C38" s="2" t="s">
        <v>12</v>
      </c>
      <c r="D38" s="2" t="s">
        <v>48</v>
      </c>
      <c r="E38" s="2" t="s">
        <v>104</v>
      </c>
    </row>
    <row r="39" spans="1:5" ht="105" x14ac:dyDescent="0.25">
      <c r="A39" s="2" t="s">
        <v>46</v>
      </c>
      <c r="B39" s="2" t="s">
        <v>40</v>
      </c>
      <c r="C39" s="2" t="s">
        <v>348</v>
      </c>
      <c r="D39" s="2" t="s">
        <v>408</v>
      </c>
      <c r="E39" s="2" t="s">
        <v>409</v>
      </c>
    </row>
    <row r="40" spans="1:5" ht="90" x14ac:dyDescent="0.25">
      <c r="A40" s="2" t="s">
        <v>46</v>
      </c>
      <c r="B40" s="2" t="s">
        <v>74</v>
      </c>
      <c r="C40" s="2" t="s">
        <v>349</v>
      </c>
      <c r="D40" s="2" t="s">
        <v>410</v>
      </c>
      <c r="E40" s="2" t="s">
        <v>411</v>
      </c>
    </row>
    <row r="41" spans="1:5" ht="105" x14ac:dyDescent="0.25">
      <c r="A41" s="2" t="s">
        <v>128</v>
      </c>
      <c r="B41" s="2" t="s">
        <v>40</v>
      </c>
      <c r="C41" s="2" t="s">
        <v>135</v>
      </c>
      <c r="D41" s="2" t="s">
        <v>136</v>
      </c>
      <c r="E41" s="2" t="s">
        <v>137</v>
      </c>
    </row>
    <row r="42" spans="1:5" ht="120" x14ac:dyDescent="0.25">
      <c r="A42" s="2" t="s">
        <v>128</v>
      </c>
      <c r="B42" s="2" t="s">
        <v>40</v>
      </c>
      <c r="C42" s="2" t="s">
        <v>344</v>
      </c>
      <c r="D42" s="2" t="s">
        <v>412</v>
      </c>
      <c r="E42" s="2" t="s">
        <v>413</v>
      </c>
    </row>
    <row r="43" spans="1:5" ht="75" x14ac:dyDescent="0.25">
      <c r="A43" s="2" t="s">
        <v>128</v>
      </c>
      <c r="B43" s="2" t="s">
        <v>40</v>
      </c>
      <c r="C43" s="2" t="s">
        <v>51</v>
      </c>
      <c r="D43" s="2" t="s">
        <v>52</v>
      </c>
      <c r="E43" s="2" t="s">
        <v>129</v>
      </c>
    </row>
    <row r="44" spans="1:5" ht="90" x14ac:dyDescent="0.25">
      <c r="A44" s="2" t="s">
        <v>128</v>
      </c>
      <c r="B44" s="2" t="s">
        <v>40</v>
      </c>
      <c r="C44" s="2" t="s">
        <v>126</v>
      </c>
      <c r="D44" s="2" t="s">
        <v>127</v>
      </c>
      <c r="E44" s="2" t="s">
        <v>130</v>
      </c>
    </row>
    <row r="45" spans="1:5" ht="90" x14ac:dyDescent="0.25">
      <c r="A45" s="2" t="s">
        <v>128</v>
      </c>
      <c r="B45" s="2" t="s">
        <v>40</v>
      </c>
      <c r="C45" s="2" t="s">
        <v>131</v>
      </c>
      <c r="D45" s="2" t="s">
        <v>132</v>
      </c>
      <c r="E45" s="2" t="s">
        <v>133</v>
      </c>
    </row>
    <row r="46" spans="1:5" ht="90" x14ac:dyDescent="0.25">
      <c r="A46" s="2" t="s">
        <v>128</v>
      </c>
      <c r="B46" s="2" t="s">
        <v>40</v>
      </c>
      <c r="C46" s="2" t="s">
        <v>49</v>
      </c>
      <c r="D46" s="2" t="s">
        <v>50</v>
      </c>
      <c r="E46" s="2" t="s">
        <v>134</v>
      </c>
    </row>
    <row r="47" spans="1:5" ht="75" x14ac:dyDescent="0.25">
      <c r="A47" s="2" t="s">
        <v>128</v>
      </c>
      <c r="B47" s="2" t="s">
        <v>40</v>
      </c>
      <c r="C47" s="2" t="s">
        <v>53</v>
      </c>
      <c r="D47" s="2" t="s">
        <v>54</v>
      </c>
      <c r="E47" s="2" t="s">
        <v>105</v>
      </c>
    </row>
    <row r="48" spans="1:5" ht="75" x14ac:dyDescent="0.25">
      <c r="A48" s="2" t="s">
        <v>128</v>
      </c>
      <c r="B48" s="2" t="s">
        <v>40</v>
      </c>
      <c r="C48" s="2" t="s">
        <v>14</v>
      </c>
      <c r="D48" s="2" t="s">
        <v>152</v>
      </c>
      <c r="E48" s="2" t="s">
        <v>414</v>
      </c>
    </row>
    <row r="49" spans="1:5" ht="75" x14ac:dyDescent="0.25">
      <c r="A49" s="2" t="s">
        <v>128</v>
      </c>
      <c r="B49" s="2" t="s">
        <v>40</v>
      </c>
      <c r="C49" s="2" t="s">
        <v>15</v>
      </c>
      <c r="D49" s="2" t="s">
        <v>55</v>
      </c>
      <c r="E49" s="2" t="s">
        <v>106</v>
      </c>
    </row>
    <row r="50" spans="1:5" ht="90" x14ac:dyDescent="0.25">
      <c r="A50" s="2" t="s">
        <v>128</v>
      </c>
      <c r="B50" s="2" t="s">
        <v>40</v>
      </c>
      <c r="C50" s="2" t="s">
        <v>346</v>
      </c>
      <c r="D50" s="2" t="s">
        <v>415</v>
      </c>
      <c r="E50" s="2" t="s">
        <v>416</v>
      </c>
    </row>
    <row r="51" spans="1:5" ht="90" x14ac:dyDescent="0.25">
      <c r="A51" s="2" t="s">
        <v>128</v>
      </c>
      <c r="B51" s="2" t="s">
        <v>40</v>
      </c>
      <c r="C51" s="2" t="s">
        <v>345</v>
      </c>
      <c r="D51" s="2" t="s">
        <v>417</v>
      </c>
      <c r="E51" s="2" t="s">
        <v>418</v>
      </c>
    </row>
    <row r="52" spans="1:5" ht="105" x14ac:dyDescent="0.25">
      <c r="A52" s="2" t="s">
        <v>128</v>
      </c>
      <c r="B52" s="2" t="s">
        <v>74</v>
      </c>
      <c r="C52" s="2" t="s">
        <v>97</v>
      </c>
      <c r="D52" s="2" t="s">
        <v>98</v>
      </c>
      <c r="E52" s="2" t="s">
        <v>419</v>
      </c>
    </row>
    <row r="53" spans="1:5" ht="105" x14ac:dyDescent="0.25">
      <c r="A53" s="2" t="s">
        <v>128</v>
      </c>
      <c r="B53" s="2" t="s">
        <v>74</v>
      </c>
      <c r="C53" s="2" t="s">
        <v>99</v>
      </c>
      <c r="D53" s="2" t="s">
        <v>100</v>
      </c>
      <c r="E53" s="2" t="s">
        <v>125</v>
      </c>
    </row>
    <row r="54" spans="1:5" ht="90" x14ac:dyDescent="0.25">
      <c r="A54" s="2" t="s">
        <v>65</v>
      </c>
      <c r="B54" s="2" t="s">
        <v>40</v>
      </c>
      <c r="C54" s="2" t="s">
        <v>66</v>
      </c>
      <c r="D54" s="2" t="s">
        <v>67</v>
      </c>
      <c r="E54" s="2" t="s">
        <v>111</v>
      </c>
    </row>
    <row r="55" spans="1:5" ht="75" x14ac:dyDescent="0.25">
      <c r="A55" s="2" t="s">
        <v>65</v>
      </c>
      <c r="B55" s="2" t="s">
        <v>68</v>
      </c>
      <c r="C55" s="2" t="s">
        <v>69</v>
      </c>
      <c r="D55" s="2" t="s">
        <v>70</v>
      </c>
      <c r="E55" s="2" t="s">
        <v>112</v>
      </c>
    </row>
    <row r="56" spans="1:5" ht="90" x14ac:dyDescent="0.25">
      <c r="A56" s="2" t="s">
        <v>65</v>
      </c>
      <c r="B56" s="2" t="s">
        <v>71</v>
      </c>
      <c r="C56" s="2" t="s">
        <v>72</v>
      </c>
      <c r="D56" s="2" t="s">
        <v>73</v>
      </c>
      <c r="E56" s="2" t="s">
        <v>113</v>
      </c>
    </row>
    <row r="57" spans="1:5" ht="105" x14ac:dyDescent="0.25">
      <c r="A57" s="2" t="s">
        <v>65</v>
      </c>
      <c r="B57" s="2" t="s">
        <v>74</v>
      </c>
      <c r="C57" s="2" t="s">
        <v>75</v>
      </c>
      <c r="D57" s="2" t="s">
        <v>76</v>
      </c>
      <c r="E57" s="2" t="s">
        <v>114</v>
      </c>
    </row>
    <row r="58" spans="1:5" ht="45" x14ac:dyDescent="0.25">
      <c r="A58" s="2" t="s">
        <v>56</v>
      </c>
      <c r="B58" s="2" t="s">
        <v>40</v>
      </c>
      <c r="C58" s="2" t="s">
        <v>57</v>
      </c>
      <c r="D58" s="2" t="s">
        <v>58</v>
      </c>
      <c r="E58" s="2" t="s">
        <v>107</v>
      </c>
    </row>
    <row r="59" spans="1:5" ht="45" x14ac:dyDescent="0.25">
      <c r="A59" s="2" t="s">
        <v>56</v>
      </c>
      <c r="B59" s="2" t="s">
        <v>40</v>
      </c>
      <c r="C59" s="2" t="s">
        <v>59</v>
      </c>
      <c r="D59" s="2" t="s">
        <v>60</v>
      </c>
      <c r="E59" s="2" t="s">
        <v>108</v>
      </c>
    </row>
    <row r="60" spans="1:5" ht="90" x14ac:dyDescent="0.25">
      <c r="A60" s="2" t="s">
        <v>56</v>
      </c>
      <c r="B60" s="2" t="s">
        <v>40</v>
      </c>
      <c r="C60" s="2" t="s">
        <v>61</v>
      </c>
      <c r="D60" s="2" t="s">
        <v>62</v>
      </c>
      <c r="E60" s="2" t="s">
        <v>109</v>
      </c>
    </row>
    <row r="61" spans="1:5" ht="90" x14ac:dyDescent="0.25">
      <c r="A61" s="2" t="s">
        <v>56</v>
      </c>
      <c r="B61" s="2" t="s">
        <v>40</v>
      </c>
      <c r="C61" s="2" t="s">
        <v>63</v>
      </c>
      <c r="D61" s="2" t="s">
        <v>64</v>
      </c>
      <c r="E61" s="2"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9F76-5104-49FC-BB43-6F7BA8306F2B}">
  <sheetPr codeName="Sheet3"/>
  <dimension ref="A5:O65"/>
  <sheetViews>
    <sheetView showGridLines="0" topLeftCell="A3" workbookViewId="0">
      <selection activeCell="E12" sqref="E12"/>
    </sheetView>
  </sheetViews>
  <sheetFormatPr defaultRowHeight="15" x14ac:dyDescent="0.25"/>
  <cols>
    <col min="3" max="3" width="10.28515625" bestFit="1" customWidth="1"/>
    <col min="4" max="4" width="10.28515625" customWidth="1"/>
    <col min="5" max="5" width="44.28515625" bestFit="1" customWidth="1"/>
    <col min="6" max="13" width="10.28515625" customWidth="1"/>
    <col min="14" max="14" width="44.28515625" bestFit="1" customWidth="1"/>
    <col min="15" max="15" width="45.7109375" bestFit="1" customWidth="1"/>
    <col min="16" max="16" width="45.7109375" customWidth="1"/>
    <col min="19" max="19" width="45.7109375" bestFit="1" customWidth="1"/>
  </cols>
  <sheetData>
    <row r="5" spans="1:15" x14ac:dyDescent="0.25">
      <c r="A5" cm="1">
        <f t="array" ref="A5:A65">_xlfn.XMATCH(C5:C65,data[factor_name])</f>
        <v>1</v>
      </c>
      <c r="C5" t="s">
        <v>4</v>
      </c>
      <c r="D5" t="str" cm="1">
        <f t="array" ref="D5:D65">IF(G5:G65&lt;&gt;0,G5:G65,_xlfn.XLOOKUP(C5:C65,data[factor_name],data[description]))</f>
        <v>S&amp;P 500</v>
      </c>
      <c r="E5" t="str" cm="1">
        <f t="array" ref="E5:E65">IF(ISERROR(_xlfn.ANCHORARRAY(M5)),#N/A,IFERROR(_xlfn.ANCHORARRAY(N5),_xlfn.ANCHORARRAY(O5)))</f>
        <v>SPDR S&amp;P 500 ETF Trust</v>
      </c>
      <c r="F5" t="e" cm="1">
        <f t="array" ref="F5:F65">_xlfn.XLOOKUP(C5:C65,legacy!E2:E81,legacy!D2:D81)</f>
        <v>#N/A</v>
      </c>
      <c r="G5" s="7"/>
      <c r="M5" t="b" cm="1">
        <f t="array" ref="M5:M65">IFERROR(_xlfn.ANCHORARRAY(N5)&lt;&gt;_xlfn.ANCHORARRAY(O5),0)</f>
        <v>0</v>
      </c>
      <c r="N5" t="str" cm="1">
        <f t="array" ref="N5:N65">_xlfn.LET(_xlpm.x,_xlfn.XLOOKUP(C5:C65,data[factor_name],data[Description_GPT]),IF(_xlpm.x=0,#N/A,_xlpm.x))</f>
        <v>SPDR S&amp;P 500 ETF Trust</v>
      </c>
      <c r="O5" t="str" cm="1">
        <f t="array" ref="O5:O65">_xlfn.XLOOKUP(C5:C65,gpt!C2:C61,gpt!D2:D61)</f>
        <v>SPDR S&amp;P 500 ETF Trust</v>
      </c>
    </row>
    <row r="6" spans="1:15" x14ac:dyDescent="0.25">
      <c r="A6">
        <v>3</v>
      </c>
      <c r="C6" t="s">
        <v>361</v>
      </c>
      <c r="D6" t="str">
        <v>S&amp;P 400</v>
      </c>
      <c r="E6" t="str">
        <v>SPDR S&amp;P MidCap 400 ETF Trust</v>
      </c>
      <c r="F6" t="e">
        <v>#N/A</v>
      </c>
      <c r="G6" s="7" t="s">
        <v>420</v>
      </c>
      <c r="M6" t="b">
        <v>0</v>
      </c>
      <c r="N6" t="str">
        <v>SPDR S&amp;P MidCap 400 ETF Trust</v>
      </c>
      <c r="O6" t="str">
        <v>SPDR S&amp;P MidCap 400 ETF Trust</v>
      </c>
    </row>
    <row r="7" spans="1:15" x14ac:dyDescent="0.25">
      <c r="A7">
        <v>2</v>
      </c>
      <c r="C7" t="s">
        <v>5</v>
      </c>
      <c r="D7" t="str">
        <v>Russell 2000</v>
      </c>
      <c r="E7" t="str">
        <v>iShares Russell 2000 ETF</v>
      </c>
      <c r="F7" t="e">
        <v>#N/A</v>
      </c>
      <c r="G7" s="7"/>
      <c r="M7" t="b">
        <v>0</v>
      </c>
      <c r="N7" t="str">
        <v>iShares Russell 2000 ETF</v>
      </c>
      <c r="O7" t="str">
        <v>iShares Russell 2000 ETF</v>
      </c>
    </row>
    <row r="8" spans="1:15" x14ac:dyDescent="0.25">
      <c r="A8">
        <v>5</v>
      </c>
      <c r="C8" t="s">
        <v>7</v>
      </c>
      <c r="D8" t="str">
        <v>Nasdaq 100</v>
      </c>
      <c r="E8" t="str">
        <v>Invesco QQQ Trust</v>
      </c>
      <c r="F8" t="e">
        <v>#N/A</v>
      </c>
      <c r="G8" s="7"/>
      <c r="M8" t="b">
        <v>0</v>
      </c>
      <c r="N8" t="str">
        <v>Invesco QQQ Trust</v>
      </c>
      <c r="O8" t="str">
        <v>Invesco QQQ Trust</v>
      </c>
    </row>
    <row r="9" spans="1:15" x14ac:dyDescent="0.25">
      <c r="A9">
        <v>6</v>
      </c>
      <c r="C9" t="s">
        <v>44</v>
      </c>
      <c r="D9" t="str">
        <v>Dow Jones 30</v>
      </c>
      <c r="E9" t="str">
        <v>SPDR Dow Jones Industrial Average ETF Trust</v>
      </c>
      <c r="F9" t="e">
        <v>#N/A</v>
      </c>
      <c r="G9" s="7"/>
      <c r="M9" t="b">
        <v>0</v>
      </c>
      <c r="N9" t="str">
        <v>SPDR Dow Jones Industrial Average ETF Trust</v>
      </c>
      <c r="O9" t="str">
        <v>SPDR Dow Jones Industrial Average ETF Trust</v>
      </c>
    </row>
    <row r="10" spans="1:15" x14ac:dyDescent="0.25">
      <c r="A10">
        <v>7</v>
      </c>
      <c r="C10" t="s">
        <v>173</v>
      </c>
      <c r="D10" t="str">
        <v>Technology</v>
      </c>
      <c r="E10" t="str">
        <v>Technology Select Sector SPDR Fund</v>
      </c>
      <c r="F10" t="str">
        <v>Technology</v>
      </c>
      <c r="G10" s="7" t="s">
        <v>159</v>
      </c>
      <c r="M10" t="b">
        <v>0</v>
      </c>
      <c r="N10" t="str">
        <v>Technology Select Sector SPDR Fund</v>
      </c>
      <c r="O10" t="str">
        <v>Technology Select Sector SPDR Fund</v>
      </c>
    </row>
    <row r="11" spans="1:15" x14ac:dyDescent="0.25">
      <c r="A11">
        <v>8</v>
      </c>
      <c r="C11" t="s">
        <v>174</v>
      </c>
      <c r="D11" t="str">
        <v>Industrials</v>
      </c>
      <c r="E11" t="str">
        <v>Industrial Select Sector SPDR Fund</v>
      </c>
      <c r="F11" t="str">
        <v>Industrials</v>
      </c>
      <c r="G11" s="7" t="s">
        <v>160</v>
      </c>
      <c r="M11" t="b">
        <v>0</v>
      </c>
      <c r="N11" t="str">
        <v>Industrial Select Sector SPDR Fund</v>
      </c>
      <c r="O11" t="str">
        <v>Industrial Select Sector SPDR Fund</v>
      </c>
    </row>
    <row r="12" spans="1:15" x14ac:dyDescent="0.25">
      <c r="A12">
        <v>9</v>
      </c>
      <c r="C12" t="s">
        <v>175</v>
      </c>
      <c r="D12" t="str">
        <v>Financials</v>
      </c>
      <c r="E12" t="str">
        <v>Financial Select Sector SPDR Fund</v>
      </c>
      <c r="F12" t="str">
        <v>Financials</v>
      </c>
      <c r="G12" s="7" t="s">
        <v>161</v>
      </c>
      <c r="M12" t="b">
        <v>0</v>
      </c>
      <c r="N12" t="str">
        <v>Financial Select Sector SPDR Fund</v>
      </c>
      <c r="O12" t="str">
        <v>Financial Select Sector SPDR Fund</v>
      </c>
    </row>
    <row r="13" spans="1:15" x14ac:dyDescent="0.25">
      <c r="A13">
        <v>10</v>
      </c>
      <c r="C13" t="s">
        <v>176</v>
      </c>
      <c r="D13" t="str">
        <v>Regional Banks</v>
      </c>
      <c r="E13" t="str">
        <v>SPDR S&amp;P Regional Banking ETF</v>
      </c>
      <c r="F13" t="str">
        <v>Regional Banks</v>
      </c>
      <c r="G13" s="7" t="s">
        <v>162</v>
      </c>
      <c r="M13" t="b">
        <v>0</v>
      </c>
      <c r="N13" t="str">
        <v>SPDR S&amp;P Regional Banking ETF</v>
      </c>
      <c r="O13" t="str">
        <v>SPDR S&amp;P Regional Banking ETF</v>
      </c>
    </row>
    <row r="14" spans="1:15" x14ac:dyDescent="0.25">
      <c r="A14">
        <v>11</v>
      </c>
      <c r="C14" t="s">
        <v>177</v>
      </c>
      <c r="D14" t="str">
        <v>Communications</v>
      </c>
      <c r="E14" t="str">
        <v>Communication Services Select Sector SPDR</v>
      </c>
      <c r="F14" t="str">
        <v>Communications</v>
      </c>
      <c r="G14" s="7" t="s">
        <v>163</v>
      </c>
      <c r="M14" t="b">
        <v>0</v>
      </c>
      <c r="N14" t="str">
        <v>Communication Services Select Sector SPDR</v>
      </c>
      <c r="O14" t="str">
        <v>Communication Services Select Sector SPDR</v>
      </c>
    </row>
    <row r="15" spans="1:15" x14ac:dyDescent="0.25">
      <c r="A15">
        <v>12</v>
      </c>
      <c r="C15" t="s">
        <v>342</v>
      </c>
      <c r="D15" t="str">
        <v>Energy</v>
      </c>
      <c r="E15" t="str">
        <v>Energy Select Sector SPDR Fund</v>
      </c>
      <c r="F15" t="str">
        <v>Energy</v>
      </c>
      <c r="G15" s="7" t="s">
        <v>164</v>
      </c>
      <c r="M15" t="b">
        <v>0</v>
      </c>
      <c r="N15" t="str">
        <v>Energy Select Sector SPDR Fund</v>
      </c>
      <c r="O15" t="str">
        <v>Energy Select Sector SPDR Fund</v>
      </c>
    </row>
    <row r="16" spans="1:15" x14ac:dyDescent="0.25">
      <c r="A16">
        <v>13</v>
      </c>
      <c r="C16" t="s">
        <v>178</v>
      </c>
      <c r="D16" t="str">
        <v>Discretionary</v>
      </c>
      <c r="E16" t="str">
        <v>Consumer Discretionary Select Sector SPDR</v>
      </c>
      <c r="F16" t="str">
        <v>Discretionary</v>
      </c>
      <c r="G16" s="7" t="s">
        <v>165</v>
      </c>
      <c r="M16" t="b">
        <v>0</v>
      </c>
      <c r="N16" t="str">
        <v>Consumer Discretionary Select Sector SPDR</v>
      </c>
      <c r="O16" t="str">
        <v>Consumer Discretionary Select Sector SPDR</v>
      </c>
    </row>
    <row r="17" spans="1:15" x14ac:dyDescent="0.25">
      <c r="A17">
        <v>14</v>
      </c>
      <c r="C17" t="s">
        <v>179</v>
      </c>
      <c r="D17" t="str">
        <v>Materials</v>
      </c>
      <c r="E17" t="str">
        <v>Materials Select Sector SPDR Fund</v>
      </c>
      <c r="F17" t="str">
        <v>Materials</v>
      </c>
      <c r="G17" s="7" t="s">
        <v>166</v>
      </c>
      <c r="M17" t="b">
        <v>0</v>
      </c>
      <c r="N17" t="str">
        <v>Materials Select Sector SPDR Fund</v>
      </c>
      <c r="O17" t="str">
        <v>Materials Select Sector SPDR Fund</v>
      </c>
    </row>
    <row r="18" spans="1:15" x14ac:dyDescent="0.25">
      <c r="A18">
        <v>15</v>
      </c>
      <c r="C18" t="s">
        <v>180</v>
      </c>
      <c r="D18" t="str">
        <v>Health Care</v>
      </c>
      <c r="E18" t="str">
        <v>Health Care Select Sector SPDR Fund</v>
      </c>
      <c r="F18" t="str">
        <v>Health Care</v>
      </c>
      <c r="G18" s="7" t="s">
        <v>167</v>
      </c>
      <c r="M18" t="b">
        <v>0</v>
      </c>
      <c r="N18" t="str">
        <v>Health Care Select Sector SPDR Fund</v>
      </c>
      <c r="O18" t="str">
        <v>Health Care Select Sector SPDR Fund</v>
      </c>
    </row>
    <row r="19" spans="1:15" x14ac:dyDescent="0.25">
      <c r="A19">
        <v>16</v>
      </c>
      <c r="C19" t="s">
        <v>181</v>
      </c>
      <c r="D19" t="str">
        <v>Utilities</v>
      </c>
      <c r="E19" t="str">
        <v>Utilities Select Sector SPDR Fund</v>
      </c>
      <c r="F19" t="str">
        <v>Utilities</v>
      </c>
      <c r="G19" s="7" t="s">
        <v>168</v>
      </c>
      <c r="M19" t="b">
        <v>0</v>
      </c>
      <c r="N19" t="str">
        <v>Utilities Select Sector SPDR Fund</v>
      </c>
      <c r="O19" t="str">
        <v>Utilities Select Sector SPDR Fund</v>
      </c>
    </row>
    <row r="20" spans="1:15" x14ac:dyDescent="0.25">
      <c r="A20">
        <v>17</v>
      </c>
      <c r="C20" t="s">
        <v>182</v>
      </c>
      <c r="D20" t="str">
        <v>Staples</v>
      </c>
      <c r="E20" t="str">
        <v>Consumer Staples Select Sector SPDR Fund</v>
      </c>
      <c r="F20" t="str">
        <v>Staples</v>
      </c>
      <c r="G20" s="7" t="s">
        <v>169</v>
      </c>
      <c r="M20" t="b">
        <v>0</v>
      </c>
      <c r="N20" t="str">
        <v>Consumer Staples Select Sector SPDR Fund</v>
      </c>
      <c r="O20" t="str">
        <v>Consumer Staples Select Sector SPDR Fund</v>
      </c>
    </row>
    <row r="21" spans="1:15" x14ac:dyDescent="0.25">
      <c r="A21">
        <v>18</v>
      </c>
      <c r="C21" t="s">
        <v>285</v>
      </c>
      <c r="D21" t="str">
        <v>Real Estate</v>
      </c>
      <c r="E21" t="str">
        <v>iShares U.S. Real Estate ETF</v>
      </c>
      <c r="F21" t="e">
        <v>#N/A</v>
      </c>
      <c r="G21" s="7" t="s">
        <v>170</v>
      </c>
      <c r="M21" t="b">
        <v>0</v>
      </c>
      <c r="N21" t="str">
        <v>iShares U.S. Real Estate ETF</v>
      </c>
      <c r="O21" t="str">
        <v>iShares U.S. Real Estate ETF</v>
      </c>
    </row>
    <row r="22" spans="1:15" x14ac:dyDescent="0.25">
      <c r="A22">
        <v>19</v>
      </c>
      <c r="C22" t="s">
        <v>364</v>
      </c>
      <c r="D22" t="str">
        <v>Real Estate 2</v>
      </c>
      <c r="E22" t="str">
        <v>Vanguard Real Estate ETF</v>
      </c>
      <c r="F22" t="e">
        <v>#N/A</v>
      </c>
      <c r="G22" s="7" t="s">
        <v>422</v>
      </c>
      <c r="M22" t="b">
        <v>0</v>
      </c>
      <c r="N22" t="str">
        <v>Vanguard Real Estate ETF</v>
      </c>
      <c r="O22" t="str">
        <v>Vanguard Real Estate ETF</v>
      </c>
    </row>
    <row r="23" spans="1:15" x14ac:dyDescent="0.25">
      <c r="A23">
        <v>22</v>
      </c>
      <c r="C23" t="s">
        <v>403</v>
      </c>
      <c r="D23" t="str">
        <v>AI</v>
      </c>
      <c r="E23" t="str">
        <v>Global X Artificial Intelligence &amp; Technology ETF</v>
      </c>
      <c r="F23" t="e">
        <v>#N/A</v>
      </c>
      <c r="G23" s="7" t="s">
        <v>421</v>
      </c>
      <c r="M23" t="b">
        <v>0</v>
      </c>
      <c r="N23" t="str">
        <v>Global X Artificial Intelligence &amp; Technology ETF</v>
      </c>
      <c r="O23" t="str">
        <v>Global X Artificial Intelligence &amp; Technology ETF</v>
      </c>
    </row>
    <row r="24" spans="1:15" x14ac:dyDescent="0.25">
      <c r="A24">
        <v>27</v>
      </c>
      <c r="C24" t="s">
        <v>367</v>
      </c>
      <c r="D24" t="str">
        <v>Preferred</v>
      </c>
      <c r="E24" t="str">
        <v>iShares Preferred and Income Securities ETF</v>
      </c>
      <c r="F24" t="e">
        <v>#N/A</v>
      </c>
      <c r="G24" s="7" t="s">
        <v>423</v>
      </c>
      <c r="M24" t="b">
        <v>0</v>
      </c>
      <c r="N24" t="str">
        <v>iShares Preferred and Income Securities ETF</v>
      </c>
      <c r="O24" t="str">
        <v>iShares Preferred and Income Securities ETF</v>
      </c>
    </row>
    <row r="25" spans="1:15" x14ac:dyDescent="0.25">
      <c r="A25">
        <v>31</v>
      </c>
      <c r="C25" t="s">
        <v>13</v>
      </c>
      <c r="D25" t="str">
        <v>Eurostoxx 50</v>
      </c>
      <c r="E25" t="str">
        <v>SPDR EURO STOXX 50 ETF</v>
      </c>
      <c r="F25" t="e">
        <v>#N/A</v>
      </c>
      <c r="G25" s="7"/>
      <c r="M25" t="b">
        <v>0</v>
      </c>
      <c r="N25" t="str">
        <v>SPDR EURO STOXX 50 ETF</v>
      </c>
      <c r="O25" t="str">
        <v>SPDR EURO STOXX 50 ETF</v>
      </c>
    </row>
    <row r="26" spans="1:15" x14ac:dyDescent="0.25">
      <c r="A26">
        <v>32</v>
      </c>
      <c r="C26" t="s">
        <v>156</v>
      </c>
      <c r="D26" t="str">
        <v>Eurostoxx Banks</v>
      </c>
      <c r="E26" t="str">
        <v>iShares STOXX Europe 600 Banks</v>
      </c>
      <c r="F26" t="str">
        <v>Eurostoxx Banks</v>
      </c>
      <c r="G26" s="7"/>
      <c r="M26">
        <v>0</v>
      </c>
      <c r="N26" t="e">
        <v>#N/A</v>
      </c>
      <c r="O26" t="str">
        <v>iShares STOXX Europe 600 Banks</v>
      </c>
    </row>
    <row r="27" spans="1:15" x14ac:dyDescent="0.25">
      <c r="A27">
        <v>33</v>
      </c>
      <c r="C27" t="s">
        <v>86</v>
      </c>
      <c r="D27" t="str">
        <v>FTSE 100</v>
      </c>
      <c r="E27" t="str">
        <v>iShares FTSE United Kingdom ETF</v>
      </c>
      <c r="F27" t="e">
        <v>#N/A</v>
      </c>
      <c r="G27" s="7"/>
      <c r="M27" t="b">
        <v>0</v>
      </c>
      <c r="N27" t="str">
        <v>iShares FTSE United Kingdom ETF</v>
      </c>
      <c r="O27" t="str">
        <v>iShares FTSE United Kingdom ETF</v>
      </c>
    </row>
    <row r="28" spans="1:15" x14ac:dyDescent="0.25">
      <c r="A28">
        <v>34</v>
      </c>
      <c r="C28" t="s">
        <v>84</v>
      </c>
      <c r="D28" t="str">
        <v>DAX (Germany)</v>
      </c>
      <c r="E28" t="str">
        <v>Xtrackers DAX Equity ETF</v>
      </c>
      <c r="F28" t="str">
        <v>DAX (Germany)</v>
      </c>
      <c r="G28" s="7"/>
      <c r="M28" t="b">
        <v>0</v>
      </c>
      <c r="N28" t="str">
        <v>Xtrackers DAX Equity ETF</v>
      </c>
      <c r="O28" t="str">
        <v>Xtrackers DAX Equity ETF</v>
      </c>
    </row>
    <row r="29" spans="1:15" x14ac:dyDescent="0.25">
      <c r="A29">
        <v>35</v>
      </c>
      <c r="C29" t="s">
        <v>89</v>
      </c>
      <c r="D29" t="str">
        <v>MSCI Canada</v>
      </c>
      <c r="E29" t="str">
        <v>iShares MSCI Canada ETF</v>
      </c>
      <c r="F29" t="e">
        <v>#N/A</v>
      </c>
      <c r="G29" s="7"/>
      <c r="M29">
        <v>0</v>
      </c>
      <c r="N29" t="str">
        <v>iShares MSCI Canada ETF</v>
      </c>
      <c r="O29" t="e">
        <v>#N/A</v>
      </c>
    </row>
    <row r="30" spans="1:15" x14ac:dyDescent="0.25">
      <c r="A30">
        <v>36</v>
      </c>
      <c r="C30" t="s">
        <v>327</v>
      </c>
      <c r="D30" t="str">
        <v>FTSE MIB (Italy)</v>
      </c>
      <c r="E30" t="str">
        <v>iShares MSCI Italy ETF</v>
      </c>
      <c r="F30" t="e">
        <v>#N/A</v>
      </c>
      <c r="G30" s="7"/>
      <c r="M30">
        <v>0</v>
      </c>
      <c r="N30" t="e">
        <v>#N/A</v>
      </c>
      <c r="O30" t="str">
        <v>iShares MSCI Italy ETF</v>
      </c>
    </row>
    <row r="31" spans="1:15" x14ac:dyDescent="0.25">
      <c r="A31">
        <v>37</v>
      </c>
      <c r="C31" t="s">
        <v>95</v>
      </c>
      <c r="D31" t="str">
        <v>CAC 40 (France)</v>
      </c>
      <c r="E31" t="str">
        <v>Lyxor CAC 40 ETF</v>
      </c>
      <c r="F31" t="str">
        <v>CAC 40 (France)</v>
      </c>
      <c r="G31" s="7"/>
      <c r="M31" t="b">
        <v>0</v>
      </c>
      <c r="N31" t="str">
        <v>Lyxor CAC 40 ETF</v>
      </c>
      <c r="O31" t="str">
        <v>Lyxor CAC 40 ETF</v>
      </c>
    </row>
    <row r="32" spans="1:15" x14ac:dyDescent="0.25">
      <c r="A32">
        <v>38</v>
      </c>
      <c r="C32" t="s">
        <v>93</v>
      </c>
      <c r="D32" t="str">
        <v>MSCI Italy</v>
      </c>
      <c r="E32" t="str">
        <v>iShares MSCI Italy ETF</v>
      </c>
      <c r="F32" t="e">
        <v>#N/A</v>
      </c>
      <c r="G32" s="7"/>
      <c r="M32" t="b">
        <v>0</v>
      </c>
      <c r="N32" t="str">
        <v>iShares MSCI Italy ETF</v>
      </c>
      <c r="O32" t="str">
        <v>iShares MSCI Italy ETF</v>
      </c>
    </row>
    <row r="33" spans="1:15" x14ac:dyDescent="0.25">
      <c r="A33">
        <v>39</v>
      </c>
      <c r="C33" t="s">
        <v>330</v>
      </c>
      <c r="D33" t="str">
        <v>IBEX 35 (Spain)</v>
      </c>
      <c r="E33" t="str">
        <v>IBEX 35 ETF</v>
      </c>
      <c r="F33" t="e">
        <v>#N/A</v>
      </c>
      <c r="G33" s="7"/>
      <c r="M33">
        <v>0</v>
      </c>
      <c r="N33" t="e">
        <v>#N/A</v>
      </c>
      <c r="O33" t="str">
        <v>IBEX 35 ETF</v>
      </c>
    </row>
    <row r="34" spans="1:15" x14ac:dyDescent="0.25">
      <c r="A34">
        <v>40</v>
      </c>
      <c r="C34" t="s">
        <v>91</v>
      </c>
      <c r="D34" t="str">
        <v>MSCI Spain</v>
      </c>
      <c r="E34" t="str">
        <v>iShares MSCI Spain ETF</v>
      </c>
      <c r="F34" t="e">
        <v>#N/A</v>
      </c>
      <c r="G34" s="7"/>
      <c r="M34" t="b">
        <v>0</v>
      </c>
      <c r="N34" t="str">
        <v>iShares MSCI Spain ETF</v>
      </c>
      <c r="O34" t="str">
        <v>iShares MSCI Spain ETF</v>
      </c>
    </row>
    <row r="35" spans="1:15" x14ac:dyDescent="0.25">
      <c r="A35">
        <v>41</v>
      </c>
      <c r="C35" t="s">
        <v>324</v>
      </c>
      <c r="D35" t="str">
        <v>Nikkei 225</v>
      </c>
      <c r="E35" t="str">
        <v>Nikkei 225 ETF</v>
      </c>
      <c r="F35" t="e">
        <v>#N/A</v>
      </c>
      <c r="G35" s="7"/>
      <c r="M35" t="b">
        <v>0</v>
      </c>
      <c r="N35" t="str">
        <v>Nikkei 225 ETF</v>
      </c>
      <c r="O35" t="str">
        <v>Nikkei 225 ETF</v>
      </c>
    </row>
    <row r="36" spans="1:15" x14ac:dyDescent="0.25">
      <c r="A36">
        <v>42</v>
      </c>
      <c r="C36" t="s">
        <v>142</v>
      </c>
      <c r="D36" t="str">
        <v>TOPIX</v>
      </c>
      <c r="E36" t="str">
        <v>iShares TOPIX ETF</v>
      </c>
      <c r="F36" t="str">
        <v>Topix (Japan domenstic)</v>
      </c>
      <c r="G36" s="7"/>
      <c r="M36" t="b">
        <v>0</v>
      </c>
      <c r="N36" t="str">
        <v>iShares TOPIX ETF</v>
      </c>
      <c r="O36" t="str">
        <v>iShares TOPIX ETF</v>
      </c>
    </row>
    <row r="37" spans="1:15" x14ac:dyDescent="0.25">
      <c r="A37">
        <v>43</v>
      </c>
      <c r="C37" t="s">
        <v>80</v>
      </c>
      <c r="D37" t="str">
        <v>China Large-Cap</v>
      </c>
      <c r="E37" t="str">
        <v>iShares China Large-Cap ETF</v>
      </c>
      <c r="F37" t="str">
        <v>FTSE China 50</v>
      </c>
      <c r="G37" s="7"/>
      <c r="M37" t="b">
        <v>0</v>
      </c>
      <c r="N37" t="str">
        <v>iShares China Large-Cap ETF</v>
      </c>
      <c r="O37" t="str">
        <v>iShares China Large-Cap ETF</v>
      </c>
    </row>
    <row r="38" spans="1:15" x14ac:dyDescent="0.25">
      <c r="A38">
        <v>44</v>
      </c>
      <c r="C38" t="s">
        <v>82</v>
      </c>
      <c r="D38" t="str">
        <v>CSI 300 (China)</v>
      </c>
      <c r="E38" t="str">
        <v>Xtrackers Harvest CSI 300 China A-Shares ETF</v>
      </c>
      <c r="F38" t="str">
        <v>CSI 300 (China)</v>
      </c>
      <c r="G38" s="7"/>
      <c r="M38" t="b">
        <v>0</v>
      </c>
      <c r="N38" t="str">
        <v>Xtrackers Harvest CSI 300 China A-Shares ETF</v>
      </c>
      <c r="O38" t="str">
        <v>Xtrackers Harvest CSI 300 China A-Shares ETF</v>
      </c>
    </row>
    <row r="39" spans="1:15" x14ac:dyDescent="0.25">
      <c r="A39">
        <v>45</v>
      </c>
      <c r="C39" t="s">
        <v>400</v>
      </c>
      <c r="D39" t="str">
        <v>CSI China Internet</v>
      </c>
      <c r="E39" t="str">
        <v>KraneShares CSI China Internet ETF</v>
      </c>
      <c r="F39" t="e">
        <v>#N/A</v>
      </c>
      <c r="G39" s="7"/>
      <c r="M39" t="b">
        <v>0</v>
      </c>
      <c r="N39" t="str">
        <v>KraneShares CSI China Internet ETF</v>
      </c>
      <c r="O39" t="str">
        <v>KraneShares CSI China Internet ETF</v>
      </c>
    </row>
    <row r="40" spans="1:15" x14ac:dyDescent="0.25">
      <c r="A40">
        <v>47</v>
      </c>
      <c r="C40" t="s">
        <v>10</v>
      </c>
      <c r="D40" t="str">
        <v>iShares iBoxx $ Investment Grade Corporate Bond ETF</v>
      </c>
      <c r="E40" t="str">
        <v>iShares iBoxx $ Investment Grade Corporate Bond ETF</v>
      </c>
      <c r="F40" t="str">
        <v>US IG Bond ETF</v>
      </c>
      <c r="G40" s="7"/>
      <c r="M40" t="b">
        <v>0</v>
      </c>
      <c r="N40" t="str">
        <v>iShares iBoxx $ Investment Grade Corporate Bond ETF</v>
      </c>
      <c r="O40" t="str">
        <v>iShares iBoxx $ Investment Grade Corporate Bond ETF</v>
      </c>
    </row>
    <row r="41" spans="1:15" x14ac:dyDescent="0.25">
      <c r="A41">
        <v>49</v>
      </c>
      <c r="C41" t="s">
        <v>12</v>
      </c>
      <c r="D41" t="str">
        <v>iShares iBoxx $ High Yield Corporate Bond ETF</v>
      </c>
      <c r="E41" t="str">
        <v>iShares iBoxx $ High Yield Corporate Bond ETF</v>
      </c>
      <c r="F41" t="str">
        <v>US HY Bond ETF</v>
      </c>
      <c r="G41" s="7"/>
      <c r="M41" t="b">
        <v>0</v>
      </c>
      <c r="N41" t="str">
        <v>iShares iBoxx $ High Yield Corporate Bond ETF</v>
      </c>
      <c r="O41" t="str">
        <v>iShares iBoxx $ High Yield Corporate Bond ETF</v>
      </c>
    </row>
    <row r="42" spans="1:15" x14ac:dyDescent="0.25">
      <c r="A42">
        <v>50</v>
      </c>
      <c r="C42" t="s">
        <v>347</v>
      </c>
      <c r="D42" t="str">
        <v>Hedged LQD</v>
      </c>
      <c r="E42" t="str">
        <v>iShares Interest Rate Hedged Corporate Bond ETF</v>
      </c>
      <c r="F42" t="e">
        <v>#N/A</v>
      </c>
      <c r="G42" s="7"/>
      <c r="M42">
        <v>0</v>
      </c>
      <c r="N42" t="e">
        <v>#N/A</v>
      </c>
      <c r="O42" t="str">
        <v>iShares Interest Rate Hedged Corporate Bond ETF</v>
      </c>
    </row>
    <row r="43" spans="1:15" x14ac:dyDescent="0.25">
      <c r="A43">
        <v>51</v>
      </c>
      <c r="C43" t="s">
        <v>348</v>
      </c>
      <c r="D43" t="str">
        <v>Hedged HYG</v>
      </c>
      <c r="E43" t="str">
        <v>iShares Interest Rate Hedged High Yield Bond ETF</v>
      </c>
      <c r="F43" t="e">
        <v>#N/A</v>
      </c>
      <c r="G43" s="7"/>
      <c r="M43">
        <v>0</v>
      </c>
      <c r="N43" t="e">
        <v>#N/A</v>
      </c>
      <c r="O43" t="str">
        <v>iShares Interest Rate Hedged High Yield Bond ETF</v>
      </c>
    </row>
    <row r="44" spans="1:15" x14ac:dyDescent="0.25">
      <c r="A44">
        <v>55</v>
      </c>
      <c r="C44" t="s">
        <v>51</v>
      </c>
      <c r="D44" t="str">
        <v>1-3 Year Treasury</v>
      </c>
      <c r="E44" t="str">
        <v>iShares 1-3 Year Treasury Bond ETF</v>
      </c>
      <c r="F44" t="str">
        <v>1-3 Year Treasury ETF</v>
      </c>
      <c r="G44" s="7"/>
      <c r="M44" t="b">
        <v>0</v>
      </c>
      <c r="N44" t="str">
        <v>iShares 1-3 Year Treasury Bond ETF</v>
      </c>
      <c r="O44" t="str">
        <v>iShares 1-3 Year Treasury Bond ETF</v>
      </c>
    </row>
    <row r="45" spans="1:15" x14ac:dyDescent="0.25">
      <c r="A45">
        <v>56</v>
      </c>
      <c r="C45" t="s">
        <v>126</v>
      </c>
      <c r="D45" t="str">
        <v>3-7 Year Treasury</v>
      </c>
      <c r="E45" t="str">
        <v>iShares 3-7 Year Treasury Bond ETF</v>
      </c>
      <c r="F45" t="e">
        <v>#N/A</v>
      </c>
      <c r="G45" s="7"/>
      <c r="M45" t="b">
        <v>0</v>
      </c>
      <c r="N45" t="str">
        <v>iShares 3-7 Year Treasury Bond ETF</v>
      </c>
      <c r="O45" t="str">
        <v>iShares 3-7 Year Treasury Bond ETF</v>
      </c>
    </row>
    <row r="46" spans="1:15" x14ac:dyDescent="0.25">
      <c r="A46">
        <v>57</v>
      </c>
      <c r="C46" t="s">
        <v>131</v>
      </c>
      <c r="D46" t="str">
        <v>7-10 Year Treasury</v>
      </c>
      <c r="E46" t="str">
        <v>iShares 7-10 Year Treasury Bond ETF</v>
      </c>
      <c r="F46" t="str">
        <v>7-10 Year Treasury ETF</v>
      </c>
      <c r="G46" s="7"/>
      <c r="M46" t="b">
        <v>0</v>
      </c>
      <c r="N46" t="str">
        <v>iShares 7-10 Year Treasury Bond ETF</v>
      </c>
      <c r="O46" t="str">
        <v>iShares 7-10 Year Treasury Bond ETF</v>
      </c>
    </row>
    <row r="47" spans="1:15" x14ac:dyDescent="0.25">
      <c r="A47">
        <v>58</v>
      </c>
      <c r="C47" t="s">
        <v>49</v>
      </c>
      <c r="D47" t="str">
        <v>20+ Year Treasury</v>
      </c>
      <c r="E47" t="str">
        <v>iShares 20+ Year Treasury Bond ETF</v>
      </c>
      <c r="F47" t="str">
        <v>20+ Year Treasury ETF</v>
      </c>
      <c r="G47" s="7"/>
      <c r="M47" t="b">
        <v>0</v>
      </c>
      <c r="N47" t="str">
        <v>iShares 20+ Year Treasury Bond ETF</v>
      </c>
      <c r="O47" t="str">
        <v>iShares 20+ Year Treasury Bond ETF</v>
      </c>
    </row>
    <row r="48" spans="1:15" x14ac:dyDescent="0.25">
      <c r="A48">
        <v>59</v>
      </c>
      <c r="C48" t="s">
        <v>135</v>
      </c>
      <c r="D48" t="str">
        <v>iShares TIPS Bond ETF</v>
      </c>
      <c r="E48" t="str">
        <v>iShares TIPS Bond ETF</v>
      </c>
      <c r="F48" t="str">
        <v>TIPS ETF</v>
      </c>
      <c r="G48" s="7"/>
      <c r="M48" t="b">
        <v>0</v>
      </c>
      <c r="N48" t="str">
        <v>iShares TIPS Bond ETF</v>
      </c>
      <c r="O48" t="str">
        <v>iShares TIPS Bond ETF</v>
      </c>
    </row>
    <row r="49" spans="1:15" x14ac:dyDescent="0.25">
      <c r="A49">
        <v>60</v>
      </c>
      <c r="C49" t="s">
        <v>344</v>
      </c>
      <c r="D49" t="str">
        <v>Short-Term Inflation-Protected Securities ETF</v>
      </c>
      <c r="E49" t="str">
        <v>Vanguard Short-Term Inflation-Protected Securities ETF</v>
      </c>
      <c r="F49" t="e">
        <v>#N/A</v>
      </c>
      <c r="G49" s="7"/>
      <c r="M49">
        <v>0</v>
      </c>
      <c r="N49" t="e">
        <v>#N/A</v>
      </c>
      <c r="O49" t="str">
        <v>Vanguard Short-Term Inflation-Protected Securities ETF</v>
      </c>
    </row>
    <row r="50" spans="1:15" x14ac:dyDescent="0.25">
      <c r="A50">
        <v>61</v>
      </c>
      <c r="C50" t="s">
        <v>53</v>
      </c>
      <c r="D50" t="str">
        <v>iShares MBS ETF</v>
      </c>
      <c r="E50" t="str">
        <v>iShares MBS ETF</v>
      </c>
      <c r="F50" t="e">
        <v>#N/A</v>
      </c>
      <c r="G50" s="7"/>
      <c r="M50" t="b">
        <v>0</v>
      </c>
      <c r="N50" t="str">
        <v>iShares MBS ETF</v>
      </c>
      <c r="O50" t="str">
        <v>iShares MBS ETF</v>
      </c>
    </row>
    <row r="51" spans="1:15" x14ac:dyDescent="0.25">
      <c r="A51">
        <v>62</v>
      </c>
      <c r="C51" t="s">
        <v>14</v>
      </c>
      <c r="D51" t="str">
        <v>Simplify Mortgage Backed Securities ETF</v>
      </c>
      <c r="E51" t="str">
        <v>Simplify Mortgage Backed Securities ETF</v>
      </c>
      <c r="F51" t="e">
        <v>#N/A</v>
      </c>
      <c r="G51" s="7"/>
      <c r="M51" t="b">
        <v>0</v>
      </c>
      <c r="N51" t="str">
        <v>Simplify Mortgage Backed Securities ETF</v>
      </c>
      <c r="O51" t="str">
        <v>Simplify Mortgage Backed Securities ETF</v>
      </c>
    </row>
    <row r="52" spans="1:15" x14ac:dyDescent="0.25">
      <c r="A52">
        <v>63</v>
      </c>
      <c r="C52" t="s">
        <v>15</v>
      </c>
      <c r="D52" t="str">
        <v>AGNC Investment Corp.</v>
      </c>
      <c r="E52" t="str">
        <v>AGNC Investment Corp.</v>
      </c>
      <c r="F52" t="e">
        <v>#N/A</v>
      </c>
      <c r="G52" s="7"/>
      <c r="M52" t="b">
        <v>0</v>
      </c>
      <c r="N52" t="str">
        <v>AGNC Investment Corp.</v>
      </c>
      <c r="O52" t="str">
        <v>AGNC Investment Corp.</v>
      </c>
    </row>
    <row r="53" spans="1:15" x14ac:dyDescent="0.25">
      <c r="A53">
        <v>64</v>
      </c>
      <c r="C53" t="s">
        <v>346</v>
      </c>
      <c r="D53" t="str">
        <v>Mortgage-Backed Securities ETF</v>
      </c>
      <c r="E53" t="str">
        <v>Vanguard Mortgage-Backed Securities ETF</v>
      </c>
      <c r="F53" t="e">
        <v>#N/A</v>
      </c>
      <c r="G53" s="7"/>
      <c r="M53">
        <v>0</v>
      </c>
      <c r="N53" t="e">
        <v>#N/A</v>
      </c>
      <c r="O53" t="str">
        <v>Vanguard Mortgage-Backed Securities ETF</v>
      </c>
    </row>
    <row r="54" spans="1:15" x14ac:dyDescent="0.25">
      <c r="A54">
        <v>65</v>
      </c>
      <c r="C54" t="s">
        <v>345</v>
      </c>
      <c r="D54" t="str">
        <v>CMBS</v>
      </c>
      <c r="E54" t="str">
        <v>iShares CMBS ETF</v>
      </c>
      <c r="F54" t="e">
        <v>#N/A</v>
      </c>
      <c r="G54" s="7" t="s">
        <v>345</v>
      </c>
      <c r="M54">
        <v>0</v>
      </c>
      <c r="N54" t="e">
        <v>#N/A</v>
      </c>
      <c r="O54" t="str">
        <v>iShares CMBS ETF</v>
      </c>
    </row>
    <row r="55" spans="1:15" x14ac:dyDescent="0.25">
      <c r="A55">
        <v>66</v>
      </c>
      <c r="C55" t="s">
        <v>97</v>
      </c>
      <c r="D55" t="str">
        <v>iShares J.P. Morgan USD Emerging Markets Bond ETF</v>
      </c>
      <c r="E55" t="str">
        <v>iShares J.P. Morgan USD Emerging Markets Bond ETF</v>
      </c>
      <c r="F55" t="e">
        <v>#N/A</v>
      </c>
      <c r="G55" s="7"/>
      <c r="M55" t="b">
        <v>0</v>
      </c>
      <c r="N55" t="str">
        <v>iShares J.P. Morgan USD Emerging Markets Bond ETF</v>
      </c>
      <c r="O55" t="str">
        <v>iShares J.P. Morgan USD Emerging Markets Bond ETF</v>
      </c>
    </row>
    <row r="56" spans="1:15" x14ac:dyDescent="0.25">
      <c r="A56">
        <v>67</v>
      </c>
      <c r="C56" t="s">
        <v>349</v>
      </c>
      <c r="D56" t="str">
        <v>iShares JP Morgan EM High Yield Bond ETF</v>
      </c>
      <c r="E56" t="str">
        <v>iShares Emerging Markets High Yield Bond ETF</v>
      </c>
      <c r="F56" t="e">
        <v>#N/A</v>
      </c>
      <c r="G56" s="7"/>
      <c r="M56">
        <v>0</v>
      </c>
      <c r="N56" t="e">
        <v>#N/A</v>
      </c>
      <c r="O56" t="str">
        <v>iShares Emerging Markets High Yield Bond ETF</v>
      </c>
    </row>
    <row r="57" spans="1:15" x14ac:dyDescent="0.25">
      <c r="A57">
        <v>68</v>
      </c>
      <c r="C57" t="s">
        <v>75</v>
      </c>
      <c r="D57" t="str">
        <v>WisdomTree Emerging Markets Local Debt Fund</v>
      </c>
      <c r="E57" t="str">
        <v>WisdomTree Emerging Markets Local Debt Fund</v>
      </c>
      <c r="F57" t="e">
        <v>#N/A</v>
      </c>
      <c r="G57" s="7"/>
      <c r="M57" t="b">
        <v>0</v>
      </c>
      <c r="N57" t="str">
        <v>WisdomTree Emerging Markets Local Debt Fund</v>
      </c>
      <c r="O57" t="str">
        <v>WisdomTree Emerging Markets Local Debt Fund</v>
      </c>
    </row>
    <row r="58" spans="1:15" x14ac:dyDescent="0.25">
      <c r="A58">
        <v>69</v>
      </c>
      <c r="C58" t="s">
        <v>99</v>
      </c>
      <c r="D58" t="str">
        <v>iShares International Government Bonds ETF</v>
      </c>
      <c r="E58" t="str">
        <v>iShares International Government Bonds ETF</v>
      </c>
      <c r="F58" t="e">
        <v>#N/A</v>
      </c>
      <c r="G58" s="7"/>
      <c r="M58" t="b">
        <v>0</v>
      </c>
      <c r="N58" t="str">
        <v>iShares International Government Bonds ETF</v>
      </c>
      <c r="O58" t="str">
        <v>iShares International Government Bonds ETF</v>
      </c>
    </row>
    <row r="59" spans="1:15" x14ac:dyDescent="0.25">
      <c r="A59">
        <v>70</v>
      </c>
      <c r="C59" t="s">
        <v>57</v>
      </c>
      <c r="D59" t="str">
        <v>SPDR Gold Shares</v>
      </c>
      <c r="E59" t="str">
        <v>SPDR Gold Shares</v>
      </c>
      <c r="F59" t="e">
        <v>#N/A</v>
      </c>
      <c r="G59" s="7"/>
      <c r="M59" t="b">
        <v>0</v>
      </c>
      <c r="N59" t="str">
        <v>SPDR Gold Shares</v>
      </c>
      <c r="O59" t="str">
        <v>SPDR Gold Shares</v>
      </c>
    </row>
    <row r="60" spans="1:15" x14ac:dyDescent="0.25">
      <c r="A60">
        <v>71</v>
      </c>
      <c r="C60" t="s">
        <v>59</v>
      </c>
      <c r="D60" t="str">
        <v>iShares Silver Trust</v>
      </c>
      <c r="E60" t="str">
        <v>iShares Silver Trust</v>
      </c>
      <c r="F60" t="e">
        <v>#N/A</v>
      </c>
      <c r="G60" s="7"/>
      <c r="M60" t="b">
        <v>0</v>
      </c>
      <c r="N60" t="str">
        <v>iShares Silver Trust</v>
      </c>
      <c r="O60" t="str">
        <v>iShares Silver Trust</v>
      </c>
    </row>
    <row r="61" spans="1:15" x14ac:dyDescent="0.25">
      <c r="A61">
        <v>72</v>
      </c>
      <c r="C61" t="s">
        <v>61</v>
      </c>
      <c r="D61" t="str">
        <v>United States Oil Fund</v>
      </c>
      <c r="E61" t="str">
        <v>United States Oil Fund</v>
      </c>
      <c r="F61" t="e">
        <v>#N/A</v>
      </c>
      <c r="G61" s="7"/>
      <c r="M61" t="b">
        <v>0</v>
      </c>
      <c r="N61" t="str">
        <v>United States Oil Fund</v>
      </c>
      <c r="O61" t="str">
        <v>United States Oil Fund</v>
      </c>
    </row>
    <row r="62" spans="1:15" x14ac:dyDescent="0.25">
      <c r="A62">
        <v>75</v>
      </c>
      <c r="C62" t="s">
        <v>63</v>
      </c>
      <c r="D62" t="str">
        <v>Invesco DB Commodity Index Tracking Fund</v>
      </c>
      <c r="E62" t="str">
        <v>Invesco DB Commodity Index Tracking Fund</v>
      </c>
      <c r="F62" t="e">
        <v>#N/A</v>
      </c>
      <c r="G62" s="7"/>
      <c r="M62" t="b">
        <v>0</v>
      </c>
      <c r="N62" t="str">
        <v>Invesco DB Commodity Index Tracking Fund</v>
      </c>
      <c r="O62" t="str">
        <v>Invesco DB Commodity Index Tracking Fund</v>
      </c>
    </row>
    <row r="63" spans="1:15" x14ac:dyDescent="0.25">
      <c r="A63">
        <v>79</v>
      </c>
      <c r="C63" t="s">
        <v>66</v>
      </c>
      <c r="D63" t="str">
        <v>Invesco DB US Dollar Index Bullish Fund</v>
      </c>
      <c r="E63" t="str">
        <v>Invesco DB US Dollar Index Bullish Fund</v>
      </c>
      <c r="F63" t="e">
        <v>#N/A</v>
      </c>
      <c r="G63" s="7"/>
      <c r="M63" t="b">
        <v>0</v>
      </c>
      <c r="N63" t="str">
        <v>Invesco DB US Dollar Index Bullish Fund</v>
      </c>
      <c r="O63" t="str">
        <v>Invesco DB US Dollar Index Bullish Fund</v>
      </c>
    </row>
    <row r="64" spans="1:15" x14ac:dyDescent="0.25">
      <c r="A64">
        <v>81</v>
      </c>
      <c r="C64" t="s">
        <v>69</v>
      </c>
      <c r="D64" t="str">
        <v>Invesco CurrencyShares Euro Trust</v>
      </c>
      <c r="E64" t="str">
        <v>Invesco CurrencyShares Euro Trust</v>
      </c>
      <c r="F64" t="e">
        <v>#N/A</v>
      </c>
      <c r="G64" s="7"/>
      <c r="M64" t="b">
        <v>0</v>
      </c>
      <c r="N64" t="str">
        <v>Invesco CurrencyShares Euro Trust</v>
      </c>
      <c r="O64" t="str">
        <v>Invesco CurrencyShares Euro Trust</v>
      </c>
    </row>
    <row r="65" spans="1:15" x14ac:dyDescent="0.25">
      <c r="A65">
        <v>86</v>
      </c>
      <c r="C65" t="s">
        <v>72</v>
      </c>
      <c r="D65" t="str">
        <v>Invesco CurrencyShares Japanese Yen Trust</v>
      </c>
      <c r="E65" t="str">
        <v>Invesco CurrencyShares Japanese Yen Trust</v>
      </c>
      <c r="F65" t="e">
        <v>#N/A</v>
      </c>
      <c r="G65" s="7"/>
      <c r="M65" t="b">
        <v>0</v>
      </c>
      <c r="N65" t="str">
        <v>Invesco CurrencyShares Japanese Yen Trust</v>
      </c>
      <c r="O65" t="str">
        <v>Invesco CurrencyShares Japanese Yen Trust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7FE54-23CB-424E-AA4C-48055BA2B8E2}">
  <sheetPr codeName="Sheet4"/>
  <dimension ref="A1:D32"/>
  <sheetViews>
    <sheetView workbookViewId="0"/>
  </sheetViews>
  <sheetFormatPr defaultRowHeight="15" x14ac:dyDescent="0.25"/>
  <sheetData>
    <row r="1" spans="1:4" x14ac:dyDescent="0.25">
      <c r="A1" t="s">
        <v>333</v>
      </c>
      <c r="B1" cm="1">
        <f t="array" ref="B1:B9">_xlfn.XMATCH(A1:A9,data[factor_name])</f>
        <v>59</v>
      </c>
      <c r="D1" cm="1">
        <f t="array" ref="D1:D32">_xlfn.XLOOKUP(_xlfn._TRO_ALL(A:A),data[factor_name],data[Active])</f>
        <v>1</v>
      </c>
    </row>
    <row r="2" spans="1:4" x14ac:dyDescent="0.25">
      <c r="A2" t="s">
        <v>334</v>
      </c>
      <c r="B2">
        <v>60</v>
      </c>
      <c r="D2">
        <v>1</v>
      </c>
    </row>
    <row r="3" spans="1:4" x14ac:dyDescent="0.25">
      <c r="A3" t="s">
        <v>335</v>
      </c>
      <c r="B3">
        <v>65</v>
      </c>
      <c r="D3">
        <v>1</v>
      </c>
    </row>
    <row r="4" spans="1:4" x14ac:dyDescent="0.25">
      <c r="A4" t="s">
        <v>336</v>
      </c>
      <c r="B4">
        <v>64</v>
      </c>
      <c r="D4">
        <v>1</v>
      </c>
    </row>
    <row r="5" spans="1:4" x14ac:dyDescent="0.25">
      <c r="A5" t="s">
        <v>337</v>
      </c>
      <c r="B5">
        <v>70</v>
      </c>
      <c r="D5">
        <v>1</v>
      </c>
    </row>
    <row r="6" spans="1:4" x14ac:dyDescent="0.25">
      <c r="A6" t="s">
        <v>338</v>
      </c>
      <c r="B6">
        <v>47</v>
      </c>
      <c r="D6">
        <v>1</v>
      </c>
    </row>
    <row r="7" spans="1:4" x14ac:dyDescent="0.25">
      <c r="A7" t="s">
        <v>339</v>
      </c>
      <c r="B7">
        <v>50</v>
      </c>
      <c r="D7">
        <v>1</v>
      </c>
    </row>
    <row r="8" spans="1:4" x14ac:dyDescent="0.25">
      <c r="A8" t="s">
        <v>340</v>
      </c>
      <c r="B8">
        <v>49</v>
      </c>
      <c r="D8">
        <v>1</v>
      </c>
    </row>
    <row r="9" spans="1:4" x14ac:dyDescent="0.25">
      <c r="A9" t="s">
        <v>341</v>
      </c>
      <c r="B9">
        <v>51</v>
      </c>
      <c r="D9">
        <v>1</v>
      </c>
    </row>
    <row r="10" spans="1:4" x14ac:dyDescent="0.25">
      <c r="D10" t="e">
        <v>#N/A</v>
      </c>
    </row>
    <row r="11" spans="1:4" x14ac:dyDescent="0.25">
      <c r="D11" t="e">
        <v>#N/A</v>
      </c>
    </row>
    <row r="12" spans="1:4" x14ac:dyDescent="0.25">
      <c r="A12" t="e" cm="1">
        <f t="array" ref="A12">_xlfn.TEXTSPLIT(data!#REF!,," ")</f>
        <v>#REF!</v>
      </c>
      <c r="B12" t="e" cm="1">
        <f t="array" ref="B12">_xlfn.XMATCH(_xlfn.ANCHORARRAY(A12),data[factor_name])</f>
        <v>#REF!</v>
      </c>
      <c r="D12" t="e">
        <v>#REF!</v>
      </c>
    </row>
    <row r="13" spans="1:4" x14ac:dyDescent="0.25">
      <c r="D13" t="e">
        <v>#N/A</v>
      </c>
    </row>
    <row r="14" spans="1:4" x14ac:dyDescent="0.25">
      <c r="D14" t="e">
        <v>#N/A</v>
      </c>
    </row>
    <row r="15" spans="1:4" x14ac:dyDescent="0.25">
      <c r="D15" t="e">
        <v>#N/A</v>
      </c>
    </row>
    <row r="16" spans="1:4" x14ac:dyDescent="0.25">
      <c r="D16" t="e">
        <v>#N/A</v>
      </c>
    </row>
    <row r="17" spans="1:4" x14ac:dyDescent="0.25">
      <c r="D17" t="e">
        <v>#N/A</v>
      </c>
    </row>
    <row r="18" spans="1:4" x14ac:dyDescent="0.25">
      <c r="D18" t="e">
        <v>#N/A</v>
      </c>
    </row>
    <row r="19" spans="1:4" x14ac:dyDescent="0.25">
      <c r="D19" t="e">
        <v>#N/A</v>
      </c>
    </row>
    <row r="20" spans="1:4" x14ac:dyDescent="0.25">
      <c r="D20" t="e">
        <v>#N/A</v>
      </c>
    </row>
    <row r="21" spans="1:4" x14ac:dyDescent="0.25">
      <c r="A21" t="s">
        <v>173</v>
      </c>
      <c r="D21">
        <v>1</v>
      </c>
    </row>
    <row r="22" spans="1:4" x14ac:dyDescent="0.25">
      <c r="A22" t="s">
        <v>174</v>
      </c>
      <c r="D22">
        <v>1</v>
      </c>
    </row>
    <row r="23" spans="1:4" x14ac:dyDescent="0.25">
      <c r="A23" t="s">
        <v>175</v>
      </c>
      <c r="D23">
        <v>1</v>
      </c>
    </row>
    <row r="24" spans="1:4" x14ac:dyDescent="0.25">
      <c r="A24" t="s">
        <v>176</v>
      </c>
      <c r="D24">
        <v>1</v>
      </c>
    </row>
    <row r="25" spans="1:4" x14ac:dyDescent="0.25">
      <c r="A25" t="s">
        <v>177</v>
      </c>
      <c r="D25">
        <v>1</v>
      </c>
    </row>
    <row r="26" spans="1:4" x14ac:dyDescent="0.25">
      <c r="A26" t="s">
        <v>342</v>
      </c>
      <c r="D26">
        <v>1</v>
      </c>
    </row>
    <row r="27" spans="1:4" x14ac:dyDescent="0.25">
      <c r="A27" t="s">
        <v>178</v>
      </c>
      <c r="D27">
        <v>1</v>
      </c>
    </row>
    <row r="28" spans="1:4" x14ac:dyDescent="0.25">
      <c r="A28" t="s">
        <v>179</v>
      </c>
      <c r="D28">
        <v>1</v>
      </c>
    </row>
    <row r="29" spans="1:4" x14ac:dyDescent="0.25">
      <c r="A29" t="s">
        <v>180</v>
      </c>
      <c r="D29">
        <v>1</v>
      </c>
    </row>
    <row r="30" spans="1:4" x14ac:dyDescent="0.25">
      <c r="A30" t="s">
        <v>181</v>
      </c>
      <c r="D30">
        <v>1</v>
      </c>
    </row>
    <row r="31" spans="1:4" x14ac:dyDescent="0.25">
      <c r="A31" t="s">
        <v>182</v>
      </c>
      <c r="D31">
        <v>1</v>
      </c>
    </row>
    <row r="32" spans="1:4" x14ac:dyDescent="0.25">
      <c r="A32" t="s">
        <v>285</v>
      </c>
      <c r="D3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5BD3C-985E-4AF9-B99B-18E2DCAB8A90}">
  <sheetPr codeName="Sheet5"/>
  <dimension ref="A1:C28"/>
  <sheetViews>
    <sheetView showGridLines="0" workbookViewId="0">
      <selection activeCell="B22" sqref="B22"/>
    </sheetView>
  </sheetViews>
  <sheetFormatPr defaultRowHeight="15" x14ac:dyDescent="0.25"/>
  <sheetData>
    <row r="1" spans="1:3" x14ac:dyDescent="0.25">
      <c r="A1" t="str" cm="1">
        <f t="array" ref="A1:C1">composities[#Headers]</f>
        <v>portfolio_name</v>
      </c>
      <c r="B1" t="str">
        <v>factor_name</v>
      </c>
      <c r="C1" t="str">
        <v>weight</v>
      </c>
    </row>
    <row r="2" spans="1:3" x14ac:dyDescent="0.25">
      <c r="A2" t="str" cm="1">
        <f t="array" ref="A2:C28">composities[]</f>
        <v>FED</v>
      </c>
      <c r="B2" t="str">
        <v>SHY</v>
      </c>
      <c r="C2">
        <v>1</v>
      </c>
    </row>
    <row r="3" spans="1:3" x14ac:dyDescent="0.25">
      <c r="A3" t="str">
        <v>FED</v>
      </c>
      <c r="B3" t="str">
        <v>BSV</v>
      </c>
      <c r="C3">
        <v>1</v>
      </c>
    </row>
    <row r="4" spans="1:3" x14ac:dyDescent="0.25">
      <c r="A4" t="str">
        <v>AI</v>
      </c>
      <c r="B4" t="str">
        <v>AIQ</v>
      </c>
      <c r="C4">
        <v>1</v>
      </c>
    </row>
    <row r="5" spans="1:3" x14ac:dyDescent="0.25">
      <c r="A5" t="str">
        <v>AI</v>
      </c>
      <c r="B5" t="str">
        <v>QQQ</v>
      </c>
      <c r="C5">
        <v>0.25</v>
      </c>
    </row>
    <row r="6" spans="1:3" x14ac:dyDescent="0.25">
      <c r="A6" t="str">
        <v>AI</v>
      </c>
      <c r="B6" t="str">
        <v>IWM</v>
      </c>
      <c r="C6">
        <v>-0.25</v>
      </c>
    </row>
    <row r="7" spans="1:3" x14ac:dyDescent="0.25">
      <c r="A7" t="str">
        <v>GEOPOLITICS</v>
      </c>
      <c r="B7" t="str">
        <v>GLD</v>
      </c>
      <c r="C7">
        <v>0.65</v>
      </c>
    </row>
    <row r="8" spans="1:3" x14ac:dyDescent="0.25">
      <c r="A8" t="str">
        <v>GEOPOLITICS</v>
      </c>
      <c r="B8" t="str">
        <v>USO</v>
      </c>
      <c r="C8">
        <v>0.3</v>
      </c>
    </row>
    <row r="9" spans="1:3" x14ac:dyDescent="0.25">
      <c r="A9" t="str">
        <v>GEOPOLITICS</v>
      </c>
      <c r="B9" t="str">
        <v>^VIX3M</v>
      </c>
      <c r="C9">
        <v>-0.15</v>
      </c>
    </row>
    <row r="10" spans="1:3" x14ac:dyDescent="0.25">
      <c r="A10" t="str">
        <v>GEOPOLITICS</v>
      </c>
      <c r="B10" t="str">
        <v>FEZ</v>
      </c>
      <c r="C10">
        <v>-0.05</v>
      </c>
    </row>
    <row r="11" spans="1:3" x14ac:dyDescent="0.25">
      <c r="A11" t="str">
        <v>2s10s</v>
      </c>
      <c r="B11" t="str">
        <v>SHY</v>
      </c>
      <c r="C11">
        <v>-3.8633879781420766</v>
      </c>
    </row>
    <row r="12" spans="1:3" x14ac:dyDescent="0.25">
      <c r="A12" t="str">
        <v>2s10s</v>
      </c>
      <c r="B12" t="str">
        <v>IEF</v>
      </c>
      <c r="C12">
        <v>1</v>
      </c>
    </row>
    <row r="13" spans="1:3" x14ac:dyDescent="0.25">
      <c r="A13" t="str">
        <v>XLPXLY</v>
      </c>
      <c r="B13" t="str">
        <v>XLP</v>
      </c>
      <c r="C13">
        <v>1</v>
      </c>
    </row>
    <row r="14" spans="1:3" x14ac:dyDescent="0.25">
      <c r="A14" t="str">
        <v>XLPXLY</v>
      </c>
      <c r="B14" t="str">
        <v>XLY</v>
      </c>
      <c r="C14">
        <v>-1</v>
      </c>
    </row>
    <row r="15" spans="1:3" x14ac:dyDescent="0.25">
      <c r="A15" t="str">
        <v>TRADEWAR</v>
      </c>
      <c r="B15" t="str">
        <v>GLD</v>
      </c>
      <c r="C15">
        <v>0.20547945205479451</v>
      </c>
    </row>
    <row r="16" spans="1:3" x14ac:dyDescent="0.25">
      <c r="A16" t="str">
        <v>TRADEWAR</v>
      </c>
      <c r="B16" t="str">
        <v>FXY</v>
      </c>
      <c r="C16">
        <v>0.29702970297029702</v>
      </c>
    </row>
    <row r="17" spans="1:3" x14ac:dyDescent="0.25">
      <c r="A17" t="str">
        <v>TRADEWAR</v>
      </c>
      <c r="B17" t="str">
        <v>FXF</v>
      </c>
      <c r="C17">
        <v>0.36585365853658536</v>
      </c>
    </row>
    <row r="18" spans="1:3" x14ac:dyDescent="0.25">
      <c r="A18" t="str">
        <v>TRADEWAR</v>
      </c>
      <c r="B18" t="str">
        <v>^VIX3M</v>
      </c>
      <c r="C18">
        <v>-3.7499999999999999E-2</v>
      </c>
    </row>
    <row r="19" spans="1:3" x14ac:dyDescent="0.25">
      <c r="A19" t="str">
        <v>TRADEWAR</v>
      </c>
      <c r="B19" t="str">
        <v>XLP</v>
      </c>
      <c r="C19">
        <v>0.15</v>
      </c>
    </row>
    <row r="20" spans="1:3" x14ac:dyDescent="0.25">
      <c r="A20" t="str">
        <v>TRADEWAR</v>
      </c>
      <c r="B20" t="str">
        <v>XLY</v>
      </c>
      <c r="C20">
        <v>-0.15</v>
      </c>
    </row>
    <row r="21" spans="1:3" x14ac:dyDescent="0.25">
      <c r="A21" t="str">
        <v>IRAN</v>
      </c>
      <c r="B21" t="str">
        <v>USO</v>
      </c>
      <c r="C21">
        <v>1</v>
      </c>
    </row>
    <row r="22" spans="1:3" x14ac:dyDescent="0.25">
      <c r="A22" t="str">
        <v>SEMI-SOFT</v>
      </c>
      <c r="B22" t="str">
        <v>SMH</v>
      </c>
      <c r="C22">
        <v>1</v>
      </c>
    </row>
    <row r="23" spans="1:3" x14ac:dyDescent="0.25">
      <c r="A23" t="str">
        <v>SEMI-SOFT</v>
      </c>
      <c r="B23" t="str">
        <v>IGV</v>
      </c>
      <c r="C23">
        <v>-1</v>
      </c>
    </row>
    <row r="24" spans="1:3" x14ac:dyDescent="0.25">
      <c r="A24" t="str">
        <v>SEMI-SOFT</v>
      </c>
      <c r="B24" t="str">
        <v>QQQ</v>
      </c>
      <c r="C24">
        <v>1</v>
      </c>
    </row>
    <row r="25" spans="1:3" x14ac:dyDescent="0.25">
      <c r="A25" t="str">
        <v>PRIVATES</v>
      </c>
      <c r="B25" t="str">
        <v>PSP</v>
      </c>
      <c r="C25">
        <v>0.5</v>
      </c>
    </row>
    <row r="26" spans="1:3" x14ac:dyDescent="0.25">
      <c r="A26" t="str">
        <v>PRIVATES</v>
      </c>
      <c r="B26" t="str">
        <v>XLF</v>
      </c>
      <c r="C26">
        <v>-0.5</v>
      </c>
    </row>
    <row r="27" spans="1:3" x14ac:dyDescent="0.25">
      <c r="A27" t="str">
        <v>PRIVATES</v>
      </c>
      <c r="B27" t="str">
        <v>BKLN</v>
      </c>
      <c r="C27">
        <v>0.5</v>
      </c>
    </row>
    <row r="28" spans="1:3" x14ac:dyDescent="0.25">
      <c r="A28" t="str">
        <v>PRIVATES</v>
      </c>
      <c r="B28" t="str">
        <v>LQDH</v>
      </c>
      <c r="C28">
        <v>-0.5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5AAC-62F4-4536-9109-8789088E3F23}">
  <dimension ref="A1:F22"/>
  <sheetViews>
    <sheetView workbookViewId="0"/>
  </sheetViews>
  <sheetFormatPr defaultRowHeight="15" x14ac:dyDescent="0.25"/>
  <sheetData>
    <row r="1" spans="1:6" x14ac:dyDescent="0.25">
      <c r="A1" t="s">
        <v>4</v>
      </c>
      <c r="B1" t="str" cm="1">
        <f t="array" ref="B1:B22">_xlfn.XLOOKUP(_xlfn._TRO_ALL(A:A),data[factor_name],data[asset_class],"")</f>
        <v>Equities</v>
      </c>
      <c r="F1" t="str">
        <f>"['"&amp;_xlfn.TEXTJOIN("', '",,_xlfn._TRO_ALL(A:A))&amp;"']"</f>
        <v>['SPY', 'FEZ', '^N225', 'LQDH', 'HYGH', 'EMB', 'IEI', 'IEF', 'TLT', 'FXE', 'FXY', 'FXF', 'TIP', 'VMBS', 'CMBS', 'GLD', 'USO']</v>
      </c>
    </row>
    <row r="2" spans="1:6" x14ac:dyDescent="0.25">
      <c r="A2" t="s">
        <v>13</v>
      </c>
      <c r="B2" t="str">
        <v>Equities</v>
      </c>
    </row>
    <row r="3" spans="1:6" x14ac:dyDescent="0.25">
      <c r="A3" t="s">
        <v>324</v>
      </c>
      <c r="B3" t="str">
        <v>Equities</v>
      </c>
    </row>
    <row r="4" spans="1:6" x14ac:dyDescent="0.25">
      <c r="B4" t="str">
        <v/>
      </c>
    </row>
    <row r="5" spans="1:6" x14ac:dyDescent="0.25">
      <c r="A5" t="s">
        <v>347</v>
      </c>
      <c r="B5" t="str">
        <v>Credit</v>
      </c>
    </row>
    <row r="6" spans="1:6" x14ac:dyDescent="0.25">
      <c r="A6" t="s">
        <v>348</v>
      </c>
      <c r="B6" t="str">
        <v>Credit</v>
      </c>
    </row>
    <row r="7" spans="1:6" x14ac:dyDescent="0.25">
      <c r="A7" t="s">
        <v>97</v>
      </c>
      <c r="B7" t="str">
        <v>Rates</v>
      </c>
    </row>
    <row r="8" spans="1:6" x14ac:dyDescent="0.25">
      <c r="B8" t="str">
        <v/>
      </c>
    </row>
    <row r="9" spans="1:6" x14ac:dyDescent="0.25">
      <c r="A9" t="s">
        <v>126</v>
      </c>
      <c r="B9" t="str">
        <v>Rates</v>
      </c>
    </row>
    <row r="10" spans="1:6" x14ac:dyDescent="0.25">
      <c r="A10" t="s">
        <v>131</v>
      </c>
      <c r="B10" t="str">
        <v>Rates</v>
      </c>
    </row>
    <row r="11" spans="1:6" x14ac:dyDescent="0.25">
      <c r="A11" t="s">
        <v>49</v>
      </c>
      <c r="B11" t="str">
        <v>Rates</v>
      </c>
    </row>
    <row r="12" spans="1:6" x14ac:dyDescent="0.25">
      <c r="B12" t="str">
        <v/>
      </c>
    </row>
    <row r="13" spans="1:6" x14ac:dyDescent="0.25">
      <c r="A13" t="s">
        <v>69</v>
      </c>
      <c r="B13" t="str">
        <v>Currencies</v>
      </c>
    </row>
    <row r="14" spans="1:6" x14ac:dyDescent="0.25">
      <c r="A14" t="s">
        <v>72</v>
      </c>
      <c r="B14" t="str">
        <v>Currencies</v>
      </c>
    </row>
    <row r="15" spans="1:6" x14ac:dyDescent="0.25">
      <c r="A15" t="s">
        <v>497</v>
      </c>
      <c r="B15" t="str">
        <v>Currencies</v>
      </c>
    </row>
    <row r="16" spans="1:6" x14ac:dyDescent="0.25">
      <c r="B16" t="str">
        <v/>
      </c>
    </row>
    <row r="17" spans="1:2" x14ac:dyDescent="0.25">
      <c r="A17" t="s">
        <v>135</v>
      </c>
      <c r="B17" t="str">
        <v>Rates</v>
      </c>
    </row>
    <row r="18" spans="1:2" x14ac:dyDescent="0.25">
      <c r="A18" t="s">
        <v>346</v>
      </c>
      <c r="B18" t="str">
        <v>Rates</v>
      </c>
    </row>
    <row r="19" spans="1:2" x14ac:dyDescent="0.25">
      <c r="A19" t="s">
        <v>345</v>
      </c>
      <c r="B19" t="str">
        <v>Rates</v>
      </c>
    </row>
    <row r="20" spans="1:2" x14ac:dyDescent="0.25">
      <c r="B20" t="str">
        <v/>
      </c>
    </row>
    <row r="21" spans="1:2" x14ac:dyDescent="0.25">
      <c r="A21" t="s">
        <v>57</v>
      </c>
      <c r="B21" t="str">
        <v>Commodities</v>
      </c>
    </row>
    <row r="22" spans="1:2" x14ac:dyDescent="0.25">
      <c r="A22" t="s">
        <v>61</v>
      </c>
      <c r="B22" t="str">
        <v>Commodities</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EE184-8219-4FAC-8CFD-91717B8EFB99}">
  <dimension ref="A1:G2"/>
  <sheetViews>
    <sheetView showGridLines="0" workbookViewId="0"/>
  </sheetViews>
  <sheetFormatPr defaultRowHeight="15" x14ac:dyDescent="0.25"/>
  <cols>
    <col min="1" max="1" width="9.28515625" bestFit="1" customWidth="1"/>
    <col min="2" max="2" width="10.28515625" bestFit="1" customWidth="1"/>
    <col min="6" max="6" width="9.28515625" bestFit="1" customWidth="1"/>
  </cols>
  <sheetData>
    <row r="1" spans="1:7" x14ac:dyDescent="0.25">
      <c r="B1" t="str" cm="1">
        <f t="array" ref="B1:G2">TRANSPOSE(_xlfn.DROP(_xlfn._xlws.FILTER(composities[],composities[portfolio_name]="TRADEWAR"),,1))</f>
        <v>GLD</v>
      </c>
      <c r="C1" t="str">
        <v>FXY</v>
      </c>
      <c r="D1" t="str">
        <v>FXF</v>
      </c>
      <c r="E1" t="str">
        <v>^VIX3M</v>
      </c>
      <c r="F1" s="10" t="str">
        <v>XLP</v>
      </c>
      <c r="G1" t="str">
        <v>XLY</v>
      </c>
    </row>
    <row r="2" spans="1:7" x14ac:dyDescent="0.25">
      <c r="A2" s="10">
        <f ca="1">TODAY()-1</f>
        <v>46186</v>
      </c>
      <c r="B2">
        <v>0.20547945205479451</v>
      </c>
      <c r="C2">
        <v>0.29702970297029702</v>
      </c>
      <c r="D2">
        <v>0.36585365853658536</v>
      </c>
      <c r="E2">
        <v>-3.7499999999999999E-2</v>
      </c>
      <c r="F2">
        <v>0.15</v>
      </c>
      <c r="G2">
        <v>-0.15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76AF-E8A8-4661-B4BA-DFE8D3F65EBD}">
  <dimension ref="A1:R13"/>
  <sheetViews>
    <sheetView showGridLines="0" workbookViewId="0">
      <selection activeCell="V16" sqref="V16"/>
    </sheetView>
  </sheetViews>
  <sheetFormatPr defaultRowHeight="15" x14ac:dyDescent="0.25"/>
  <sheetData>
    <row r="1" spans="1:18" x14ac:dyDescent="0.25">
      <c r="A1" s="10" t="s">
        <v>506</v>
      </c>
      <c r="B1" t="s">
        <v>4</v>
      </c>
      <c r="C1" t="s">
        <v>13</v>
      </c>
      <c r="D1" t="s">
        <v>324</v>
      </c>
      <c r="E1" t="s">
        <v>347</v>
      </c>
      <c r="F1" t="s">
        <v>348</v>
      </c>
      <c r="G1" t="s">
        <v>97</v>
      </c>
      <c r="H1" t="s">
        <v>126</v>
      </c>
      <c r="I1" t="s">
        <v>131</v>
      </c>
      <c r="J1" t="s">
        <v>49</v>
      </c>
      <c r="K1" t="s">
        <v>69</v>
      </c>
      <c r="L1" t="s">
        <v>72</v>
      </c>
      <c r="M1" t="s">
        <v>497</v>
      </c>
      <c r="N1" t="s">
        <v>135</v>
      </c>
      <c r="O1" t="s">
        <v>346</v>
      </c>
      <c r="P1" t="s">
        <v>345</v>
      </c>
      <c r="Q1" t="s">
        <v>57</v>
      </c>
      <c r="R1" t="s">
        <v>61</v>
      </c>
    </row>
    <row r="2" spans="1:18" x14ac:dyDescent="0.25">
      <c r="A2" s="10" cm="1">
        <f t="array" ref="A2:A13">DATE(_xlfn.SEQUENCE(12,,2025,-1),1,1)</f>
        <v>45658</v>
      </c>
      <c r="B2">
        <v>1</v>
      </c>
    </row>
    <row r="3" spans="1:18" x14ac:dyDescent="0.25">
      <c r="A3" s="10">
        <v>45292</v>
      </c>
      <c r="E3">
        <v>1</v>
      </c>
    </row>
    <row r="4" spans="1:18" x14ac:dyDescent="0.25">
      <c r="A4" s="10">
        <v>44927</v>
      </c>
      <c r="J4">
        <v>1</v>
      </c>
    </row>
    <row r="5" spans="1:18" x14ac:dyDescent="0.25">
      <c r="A5" s="10">
        <v>44562</v>
      </c>
      <c r="K5">
        <v>1</v>
      </c>
    </row>
    <row r="6" spans="1:18" x14ac:dyDescent="0.25">
      <c r="A6" s="10">
        <v>44197</v>
      </c>
      <c r="O6">
        <v>1</v>
      </c>
    </row>
    <row r="7" spans="1:18" x14ac:dyDescent="0.25">
      <c r="A7" s="10">
        <v>43831</v>
      </c>
      <c r="R7">
        <v>1</v>
      </c>
    </row>
    <row r="8" spans="1:18" x14ac:dyDescent="0.25">
      <c r="A8" s="10">
        <v>43466</v>
      </c>
      <c r="B8">
        <v>1</v>
      </c>
    </row>
    <row r="9" spans="1:18" x14ac:dyDescent="0.25">
      <c r="A9" s="10">
        <v>43101</v>
      </c>
      <c r="E9">
        <v>1</v>
      </c>
    </row>
    <row r="10" spans="1:18" x14ac:dyDescent="0.25">
      <c r="A10" s="10">
        <v>42736</v>
      </c>
      <c r="J10">
        <v>1</v>
      </c>
    </row>
    <row r="11" spans="1:18" x14ac:dyDescent="0.25">
      <c r="A11" s="10">
        <v>42370</v>
      </c>
      <c r="K11">
        <v>1</v>
      </c>
    </row>
    <row r="12" spans="1:18" x14ac:dyDescent="0.25">
      <c r="A12" s="10">
        <v>42005</v>
      </c>
      <c r="O12">
        <v>1</v>
      </c>
    </row>
    <row r="13" spans="1:18" x14ac:dyDescent="0.25">
      <c r="A13" s="10">
        <v>41640</v>
      </c>
      <c r="R13">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9D63-46B6-48B1-A4D5-0446948E9BE8}">
  <dimension ref="A1:E76"/>
  <sheetViews>
    <sheetView workbookViewId="0"/>
  </sheetViews>
  <sheetFormatPr defaultRowHeight="15" x14ac:dyDescent="0.25"/>
  <cols>
    <col min="2" max="2" width="12.140625" customWidth="1"/>
    <col min="3" max="3" width="11.28515625" customWidth="1"/>
    <col min="4" max="4" width="21.7109375" customWidth="1"/>
  </cols>
  <sheetData>
    <row r="1" spans="1:5" x14ac:dyDescent="0.25">
      <c r="A1" t="s">
        <v>465</v>
      </c>
      <c r="B1" t="s">
        <v>532</v>
      </c>
      <c r="C1" t="s">
        <v>533</v>
      </c>
      <c r="D1" t="s">
        <v>534</v>
      </c>
      <c r="E1" t="s">
        <v>659</v>
      </c>
    </row>
    <row r="2" spans="1:5" x14ac:dyDescent="0.25">
      <c r="A2" t="s">
        <v>4</v>
      </c>
      <c r="B2" t="s">
        <v>535</v>
      </c>
      <c r="C2" t="s">
        <v>536</v>
      </c>
      <c r="D2" t="s">
        <v>537</v>
      </c>
      <c r="E2" t="s">
        <v>658</v>
      </c>
    </row>
    <row r="3" spans="1:5" x14ac:dyDescent="0.25">
      <c r="A3" t="s">
        <v>5</v>
      </c>
      <c r="B3" t="s">
        <v>42</v>
      </c>
      <c r="C3" t="s">
        <v>42</v>
      </c>
      <c r="D3" t="s">
        <v>538</v>
      </c>
      <c r="E3" t="s">
        <v>658</v>
      </c>
    </row>
    <row r="4" spans="1:5" x14ac:dyDescent="0.25">
      <c r="A4" t="s">
        <v>361</v>
      </c>
      <c r="B4" t="s">
        <v>362</v>
      </c>
      <c r="C4" t="s">
        <v>539</v>
      </c>
      <c r="D4" t="s">
        <v>540</v>
      </c>
      <c r="E4" t="s">
        <v>658</v>
      </c>
    </row>
    <row r="5" spans="1:5" x14ac:dyDescent="0.25">
      <c r="A5" t="s">
        <v>438</v>
      </c>
      <c r="B5" t="s">
        <v>541</v>
      </c>
      <c r="C5" t="s">
        <v>542</v>
      </c>
      <c r="D5" t="s">
        <v>543</v>
      </c>
      <c r="E5" t="s">
        <v>658</v>
      </c>
    </row>
    <row r="6" spans="1:5" x14ac:dyDescent="0.25">
      <c r="A6" t="s">
        <v>7</v>
      </c>
      <c r="B6" t="s">
        <v>544</v>
      </c>
      <c r="C6" t="s">
        <v>43</v>
      </c>
      <c r="D6" t="s">
        <v>545</v>
      </c>
      <c r="E6" t="s">
        <v>658</v>
      </c>
    </row>
    <row r="7" spans="1:5" x14ac:dyDescent="0.25">
      <c r="A7" t="s">
        <v>44</v>
      </c>
      <c r="B7" t="s">
        <v>546</v>
      </c>
      <c r="C7" t="s">
        <v>45</v>
      </c>
      <c r="D7" t="s">
        <v>547</v>
      </c>
      <c r="E7" t="s">
        <v>658</v>
      </c>
    </row>
    <row r="8" spans="1:5" x14ac:dyDescent="0.25">
      <c r="A8" t="s">
        <v>173</v>
      </c>
      <c r="B8" t="s">
        <v>548</v>
      </c>
      <c r="C8" t="s">
        <v>549</v>
      </c>
      <c r="D8" t="s">
        <v>550</v>
      </c>
      <c r="E8" t="s">
        <v>658</v>
      </c>
    </row>
    <row r="9" spans="1:5" x14ac:dyDescent="0.25">
      <c r="A9" t="s">
        <v>174</v>
      </c>
      <c r="B9" t="s">
        <v>551</v>
      </c>
      <c r="C9" t="s">
        <v>552</v>
      </c>
      <c r="D9" t="s">
        <v>553</v>
      </c>
      <c r="E9" t="s">
        <v>658</v>
      </c>
    </row>
    <row r="10" spans="1:5" x14ac:dyDescent="0.25">
      <c r="A10" t="s">
        <v>175</v>
      </c>
      <c r="B10" t="s">
        <v>554</v>
      </c>
      <c r="C10" t="s">
        <v>555</v>
      </c>
      <c r="D10" t="s">
        <v>556</v>
      </c>
      <c r="E10" t="s">
        <v>658</v>
      </c>
    </row>
    <row r="11" spans="1:5" x14ac:dyDescent="0.25">
      <c r="A11" t="s">
        <v>176</v>
      </c>
      <c r="B11" t="s">
        <v>376</v>
      </c>
      <c r="C11" t="s">
        <v>376</v>
      </c>
      <c r="D11" t="s">
        <v>557</v>
      </c>
      <c r="E11" t="s">
        <v>658</v>
      </c>
    </row>
    <row r="12" spans="1:5" x14ac:dyDescent="0.25">
      <c r="A12" t="s">
        <v>177</v>
      </c>
      <c r="B12" t="s">
        <v>558</v>
      </c>
      <c r="C12" t="s">
        <v>559</v>
      </c>
      <c r="D12" t="s">
        <v>560</v>
      </c>
      <c r="E12" t="s">
        <v>658</v>
      </c>
    </row>
    <row r="13" spans="1:5" x14ac:dyDescent="0.25">
      <c r="A13" t="s">
        <v>342</v>
      </c>
      <c r="B13" t="s">
        <v>561</v>
      </c>
      <c r="C13" t="s">
        <v>562</v>
      </c>
      <c r="D13" t="s">
        <v>563</v>
      </c>
      <c r="E13" t="s">
        <v>658</v>
      </c>
    </row>
    <row r="14" spans="1:5" x14ac:dyDescent="0.25">
      <c r="A14" t="s">
        <v>178</v>
      </c>
      <c r="B14" t="s">
        <v>564</v>
      </c>
      <c r="C14" t="s">
        <v>565</v>
      </c>
      <c r="D14" t="s">
        <v>566</v>
      </c>
      <c r="E14" t="s">
        <v>658</v>
      </c>
    </row>
    <row r="15" spans="1:5" x14ac:dyDescent="0.25">
      <c r="A15" t="s">
        <v>179</v>
      </c>
      <c r="B15" t="s">
        <v>567</v>
      </c>
      <c r="C15" t="s">
        <v>568</v>
      </c>
      <c r="D15" t="s">
        <v>569</v>
      </c>
      <c r="E15" t="s">
        <v>658</v>
      </c>
    </row>
    <row r="16" spans="1:5" x14ac:dyDescent="0.25">
      <c r="A16" t="s">
        <v>180</v>
      </c>
      <c r="B16" t="s">
        <v>570</v>
      </c>
      <c r="C16" t="s">
        <v>571</v>
      </c>
      <c r="D16" t="s">
        <v>572</v>
      </c>
      <c r="E16" t="s">
        <v>658</v>
      </c>
    </row>
    <row r="17" spans="1:5" x14ac:dyDescent="0.25">
      <c r="A17" t="s">
        <v>181</v>
      </c>
      <c r="B17" t="s">
        <v>573</v>
      </c>
      <c r="C17" t="s">
        <v>574</v>
      </c>
      <c r="D17" t="s">
        <v>575</v>
      </c>
      <c r="E17" t="s">
        <v>658</v>
      </c>
    </row>
    <row r="18" spans="1:5" x14ac:dyDescent="0.25">
      <c r="A18" t="s">
        <v>182</v>
      </c>
      <c r="B18" t="s">
        <v>564</v>
      </c>
      <c r="C18" t="s">
        <v>576</v>
      </c>
      <c r="D18" t="s">
        <v>577</v>
      </c>
      <c r="E18" t="s">
        <v>658</v>
      </c>
    </row>
    <row r="19" spans="1:5" x14ac:dyDescent="0.25">
      <c r="A19" t="s">
        <v>285</v>
      </c>
      <c r="B19" t="s">
        <v>392</v>
      </c>
      <c r="C19" t="s">
        <v>392</v>
      </c>
      <c r="D19" t="s">
        <v>578</v>
      </c>
      <c r="E19" t="s">
        <v>658</v>
      </c>
    </row>
    <row r="20" spans="1:5" x14ac:dyDescent="0.25">
      <c r="A20" t="s">
        <v>364</v>
      </c>
      <c r="B20" t="s">
        <v>365</v>
      </c>
      <c r="C20" t="s">
        <v>579</v>
      </c>
      <c r="D20" t="s">
        <v>580</v>
      </c>
      <c r="E20" t="s">
        <v>658</v>
      </c>
    </row>
    <row r="21" spans="1:5" x14ac:dyDescent="0.25">
      <c r="A21" t="s">
        <v>403</v>
      </c>
      <c r="B21" t="s">
        <v>581</v>
      </c>
      <c r="C21" t="s">
        <v>404</v>
      </c>
      <c r="D21" t="s">
        <v>582</v>
      </c>
      <c r="E21" t="s">
        <v>658</v>
      </c>
    </row>
    <row r="22" spans="1:5" x14ac:dyDescent="0.25">
      <c r="A22" t="s">
        <v>431</v>
      </c>
      <c r="B22" t="s">
        <v>583</v>
      </c>
      <c r="C22" t="s">
        <v>583</v>
      </c>
      <c r="D22" t="s">
        <v>584</v>
      </c>
      <c r="E22" t="s">
        <v>658</v>
      </c>
    </row>
    <row r="23" spans="1:5" x14ac:dyDescent="0.25">
      <c r="A23" t="s">
        <v>367</v>
      </c>
      <c r="B23" t="s">
        <v>585</v>
      </c>
      <c r="C23" t="s">
        <v>368</v>
      </c>
      <c r="D23" t="s">
        <v>586</v>
      </c>
      <c r="E23" t="s">
        <v>658</v>
      </c>
    </row>
    <row r="24" spans="1:5" x14ac:dyDescent="0.25">
      <c r="A24" t="s">
        <v>13</v>
      </c>
      <c r="B24" t="s">
        <v>587</v>
      </c>
      <c r="C24" t="s">
        <v>149</v>
      </c>
      <c r="D24" t="s">
        <v>588</v>
      </c>
      <c r="E24" t="s">
        <v>658</v>
      </c>
    </row>
    <row r="25" spans="1:5" x14ac:dyDescent="0.25">
      <c r="A25" t="s">
        <v>86</v>
      </c>
      <c r="B25" t="s">
        <v>589</v>
      </c>
      <c r="C25" t="s">
        <v>590</v>
      </c>
      <c r="D25" t="s">
        <v>591</v>
      </c>
      <c r="E25" t="s">
        <v>658</v>
      </c>
    </row>
    <row r="26" spans="1:5" x14ac:dyDescent="0.25">
      <c r="A26" t="s">
        <v>84</v>
      </c>
      <c r="B26" t="s">
        <v>592</v>
      </c>
      <c r="C26" t="s">
        <v>592</v>
      </c>
      <c r="D26" t="s">
        <v>593</v>
      </c>
      <c r="E26" t="s">
        <v>658</v>
      </c>
    </row>
    <row r="27" spans="1:5" x14ac:dyDescent="0.25">
      <c r="A27" t="s">
        <v>89</v>
      </c>
      <c r="B27" t="s">
        <v>594</v>
      </c>
      <c r="C27" t="s">
        <v>90</v>
      </c>
      <c r="D27" t="s">
        <v>595</v>
      </c>
      <c r="E27" t="s">
        <v>658</v>
      </c>
    </row>
    <row r="28" spans="1:5" x14ac:dyDescent="0.25">
      <c r="A28" t="s">
        <v>327</v>
      </c>
      <c r="B28" t="s">
        <v>663</v>
      </c>
      <c r="C28" t="s">
        <v>663</v>
      </c>
      <c r="E28" t="s">
        <v>658</v>
      </c>
    </row>
    <row r="29" spans="1:5" x14ac:dyDescent="0.25">
      <c r="A29" t="s">
        <v>95</v>
      </c>
      <c r="B29" t="s">
        <v>664</v>
      </c>
      <c r="C29" t="s">
        <v>664</v>
      </c>
      <c r="D29" t="s">
        <v>665</v>
      </c>
      <c r="E29" t="s">
        <v>658</v>
      </c>
    </row>
    <row r="30" spans="1:5" x14ac:dyDescent="0.25">
      <c r="A30" t="s">
        <v>93</v>
      </c>
      <c r="B30" t="s">
        <v>596</v>
      </c>
      <c r="C30" t="s">
        <v>94</v>
      </c>
      <c r="D30" t="s">
        <v>597</v>
      </c>
      <c r="E30" t="s">
        <v>658</v>
      </c>
    </row>
    <row r="31" spans="1:5" x14ac:dyDescent="0.25">
      <c r="A31" t="s">
        <v>330</v>
      </c>
      <c r="B31" t="s">
        <v>666</v>
      </c>
      <c r="C31" t="s">
        <v>666</v>
      </c>
      <c r="E31" t="s">
        <v>658</v>
      </c>
    </row>
    <row r="32" spans="1:5" x14ac:dyDescent="0.25">
      <c r="A32" t="s">
        <v>91</v>
      </c>
      <c r="B32" t="s">
        <v>667</v>
      </c>
      <c r="C32" t="s">
        <v>92</v>
      </c>
      <c r="D32" t="s">
        <v>668</v>
      </c>
      <c r="E32" t="s">
        <v>658</v>
      </c>
    </row>
    <row r="33" spans="1:5" x14ac:dyDescent="0.25">
      <c r="A33" t="s">
        <v>324</v>
      </c>
      <c r="B33" t="s">
        <v>141</v>
      </c>
      <c r="C33" t="s">
        <v>141</v>
      </c>
      <c r="E33" t="s">
        <v>658</v>
      </c>
    </row>
    <row r="34" spans="1:5" x14ac:dyDescent="0.25">
      <c r="A34" t="s">
        <v>80</v>
      </c>
      <c r="B34" t="s">
        <v>81</v>
      </c>
      <c r="C34" t="s">
        <v>81</v>
      </c>
      <c r="D34" t="s">
        <v>598</v>
      </c>
      <c r="E34" t="s">
        <v>658</v>
      </c>
    </row>
    <row r="35" spans="1:5" x14ac:dyDescent="0.25">
      <c r="A35" t="s">
        <v>82</v>
      </c>
      <c r="B35" t="s">
        <v>599</v>
      </c>
      <c r="C35" t="s">
        <v>83</v>
      </c>
      <c r="D35" t="s">
        <v>600</v>
      </c>
      <c r="E35" t="s">
        <v>658</v>
      </c>
    </row>
    <row r="36" spans="1:5" x14ac:dyDescent="0.25">
      <c r="A36" t="s">
        <v>400</v>
      </c>
      <c r="B36" t="s">
        <v>601</v>
      </c>
      <c r="C36" t="s">
        <v>401</v>
      </c>
      <c r="D36" t="s">
        <v>602</v>
      </c>
      <c r="E36" t="s">
        <v>658</v>
      </c>
    </row>
    <row r="37" spans="1:5" x14ac:dyDescent="0.25">
      <c r="A37" t="s">
        <v>199</v>
      </c>
      <c r="B37" t="s">
        <v>603</v>
      </c>
      <c r="C37" t="s">
        <v>515</v>
      </c>
      <c r="D37" t="s">
        <v>604</v>
      </c>
      <c r="E37" t="s">
        <v>658</v>
      </c>
    </row>
    <row r="38" spans="1:5" x14ac:dyDescent="0.25">
      <c r="A38" t="s">
        <v>10</v>
      </c>
      <c r="B38" t="s">
        <v>605</v>
      </c>
      <c r="C38" t="s">
        <v>47</v>
      </c>
      <c r="D38" t="s">
        <v>606</v>
      </c>
      <c r="E38" t="s">
        <v>658</v>
      </c>
    </row>
    <row r="39" spans="1:5" x14ac:dyDescent="0.25">
      <c r="A39" t="s">
        <v>447</v>
      </c>
      <c r="B39" t="s">
        <v>607</v>
      </c>
      <c r="C39" t="s">
        <v>608</v>
      </c>
      <c r="D39" t="s">
        <v>609</v>
      </c>
      <c r="E39" t="s">
        <v>658</v>
      </c>
    </row>
    <row r="40" spans="1:5" x14ac:dyDescent="0.25">
      <c r="A40" t="s">
        <v>12</v>
      </c>
      <c r="B40" t="s">
        <v>610</v>
      </c>
      <c r="C40" t="s">
        <v>48</v>
      </c>
      <c r="D40" t="s">
        <v>611</v>
      </c>
      <c r="E40" t="s">
        <v>658</v>
      </c>
    </row>
    <row r="41" spans="1:5" x14ac:dyDescent="0.25">
      <c r="A41" t="s">
        <v>347</v>
      </c>
      <c r="B41" t="s">
        <v>612</v>
      </c>
      <c r="C41" t="s">
        <v>406</v>
      </c>
      <c r="D41" t="s">
        <v>613</v>
      </c>
      <c r="E41" t="s">
        <v>658</v>
      </c>
    </row>
    <row r="42" spans="1:5" x14ac:dyDescent="0.25">
      <c r="A42" t="s">
        <v>348</v>
      </c>
      <c r="B42" t="s">
        <v>614</v>
      </c>
      <c r="C42" t="s">
        <v>408</v>
      </c>
      <c r="D42" t="s">
        <v>615</v>
      </c>
      <c r="E42" t="s">
        <v>658</v>
      </c>
    </row>
    <row r="43" spans="1:5" x14ac:dyDescent="0.25">
      <c r="A43" t="s">
        <v>218</v>
      </c>
      <c r="B43" t="s">
        <v>616</v>
      </c>
      <c r="C43" t="s">
        <v>617</v>
      </c>
      <c r="D43" t="s">
        <v>618</v>
      </c>
      <c r="E43" t="s">
        <v>658</v>
      </c>
    </row>
    <row r="44" spans="1:5" x14ac:dyDescent="0.25">
      <c r="A44" t="s">
        <v>458</v>
      </c>
      <c r="B44" t="s">
        <v>619</v>
      </c>
      <c r="C44" t="s">
        <v>619</v>
      </c>
      <c r="E44" t="s">
        <v>658</v>
      </c>
    </row>
    <row r="45" spans="1:5" x14ac:dyDescent="0.25">
      <c r="A45" t="s">
        <v>51</v>
      </c>
      <c r="B45" t="s">
        <v>620</v>
      </c>
      <c r="C45" t="s">
        <v>52</v>
      </c>
      <c r="D45" t="s">
        <v>621</v>
      </c>
      <c r="E45" t="s">
        <v>658</v>
      </c>
    </row>
    <row r="46" spans="1:5" x14ac:dyDescent="0.25">
      <c r="A46" t="s">
        <v>126</v>
      </c>
      <c r="B46" t="s">
        <v>622</v>
      </c>
      <c r="C46" t="s">
        <v>127</v>
      </c>
      <c r="D46" t="s">
        <v>623</v>
      </c>
      <c r="E46" t="s">
        <v>658</v>
      </c>
    </row>
    <row r="47" spans="1:5" x14ac:dyDescent="0.25">
      <c r="A47" t="s">
        <v>131</v>
      </c>
      <c r="B47" t="s">
        <v>624</v>
      </c>
      <c r="C47" t="s">
        <v>132</v>
      </c>
      <c r="D47" t="s">
        <v>625</v>
      </c>
      <c r="E47" t="s">
        <v>658</v>
      </c>
    </row>
    <row r="48" spans="1:5" x14ac:dyDescent="0.25">
      <c r="A48" t="s">
        <v>49</v>
      </c>
      <c r="B48" t="s">
        <v>626</v>
      </c>
      <c r="C48" t="s">
        <v>50</v>
      </c>
      <c r="D48" t="s">
        <v>627</v>
      </c>
      <c r="E48" t="s">
        <v>658</v>
      </c>
    </row>
    <row r="49" spans="1:5" x14ac:dyDescent="0.25">
      <c r="A49" t="s">
        <v>135</v>
      </c>
      <c r="B49" t="s">
        <v>136</v>
      </c>
      <c r="C49" t="s">
        <v>136</v>
      </c>
      <c r="D49" t="s">
        <v>628</v>
      </c>
      <c r="E49" t="s">
        <v>658</v>
      </c>
    </row>
    <row r="50" spans="1:5" x14ac:dyDescent="0.25">
      <c r="A50" t="s">
        <v>344</v>
      </c>
      <c r="B50" t="s">
        <v>629</v>
      </c>
      <c r="C50" t="s">
        <v>630</v>
      </c>
      <c r="D50" t="s">
        <v>631</v>
      </c>
      <c r="E50" t="s">
        <v>658</v>
      </c>
    </row>
    <row r="51" spans="1:5" x14ac:dyDescent="0.25">
      <c r="A51" t="s">
        <v>53</v>
      </c>
      <c r="B51" t="s">
        <v>54</v>
      </c>
      <c r="C51" t="s">
        <v>54</v>
      </c>
      <c r="D51" t="s">
        <v>669</v>
      </c>
      <c r="E51" t="s">
        <v>658</v>
      </c>
    </row>
    <row r="52" spans="1:5" x14ac:dyDescent="0.25">
      <c r="A52" t="s">
        <v>15</v>
      </c>
      <c r="B52" t="s">
        <v>55</v>
      </c>
      <c r="C52" t="s">
        <v>55</v>
      </c>
      <c r="D52" t="s">
        <v>632</v>
      </c>
      <c r="E52" t="s">
        <v>658</v>
      </c>
    </row>
    <row r="53" spans="1:5" x14ac:dyDescent="0.25">
      <c r="A53" t="s">
        <v>346</v>
      </c>
      <c r="B53" t="s">
        <v>633</v>
      </c>
      <c r="C53" t="s">
        <v>634</v>
      </c>
      <c r="D53" t="s">
        <v>635</v>
      </c>
      <c r="E53" t="s">
        <v>658</v>
      </c>
    </row>
    <row r="54" spans="1:5" x14ac:dyDescent="0.25">
      <c r="A54" t="s">
        <v>345</v>
      </c>
      <c r="B54" t="s">
        <v>636</v>
      </c>
      <c r="C54" t="s">
        <v>417</v>
      </c>
      <c r="D54" t="s">
        <v>637</v>
      </c>
      <c r="E54" t="s">
        <v>658</v>
      </c>
    </row>
    <row r="55" spans="1:5" x14ac:dyDescent="0.25">
      <c r="A55" t="s">
        <v>97</v>
      </c>
      <c r="B55" t="s">
        <v>638</v>
      </c>
      <c r="C55" t="s">
        <v>98</v>
      </c>
      <c r="D55" t="s">
        <v>639</v>
      </c>
      <c r="E55" t="s">
        <v>658</v>
      </c>
    </row>
    <row r="56" spans="1:5" x14ac:dyDescent="0.25">
      <c r="A56" t="s">
        <v>349</v>
      </c>
      <c r="B56" t="s">
        <v>670</v>
      </c>
      <c r="C56" t="s">
        <v>671</v>
      </c>
      <c r="D56" t="s">
        <v>672</v>
      </c>
      <c r="E56" t="s">
        <v>658</v>
      </c>
    </row>
    <row r="57" spans="1:5" x14ac:dyDescent="0.25">
      <c r="A57" t="s">
        <v>75</v>
      </c>
      <c r="B57" t="s">
        <v>673</v>
      </c>
      <c r="C57" t="s">
        <v>674</v>
      </c>
      <c r="D57" t="s">
        <v>675</v>
      </c>
      <c r="E57" t="s">
        <v>658</v>
      </c>
    </row>
    <row r="58" spans="1:5" x14ac:dyDescent="0.25">
      <c r="A58" t="s">
        <v>99</v>
      </c>
      <c r="B58" t="s">
        <v>676</v>
      </c>
      <c r="C58" t="s">
        <v>677</v>
      </c>
      <c r="D58" t="s">
        <v>678</v>
      </c>
      <c r="E58" t="s">
        <v>658</v>
      </c>
    </row>
    <row r="59" spans="1:5" x14ac:dyDescent="0.25">
      <c r="A59" t="s">
        <v>57</v>
      </c>
      <c r="B59" t="s">
        <v>640</v>
      </c>
      <c r="C59" t="s">
        <v>58</v>
      </c>
      <c r="D59" t="s">
        <v>641</v>
      </c>
      <c r="E59" t="s">
        <v>658</v>
      </c>
    </row>
    <row r="60" spans="1:5" x14ac:dyDescent="0.25">
      <c r="A60" t="s">
        <v>59</v>
      </c>
      <c r="B60" t="s">
        <v>60</v>
      </c>
      <c r="C60" t="s">
        <v>60</v>
      </c>
      <c r="D60" t="s">
        <v>642</v>
      </c>
      <c r="E60" t="s">
        <v>658</v>
      </c>
    </row>
    <row r="61" spans="1:5" x14ac:dyDescent="0.25">
      <c r="A61" t="s">
        <v>61</v>
      </c>
      <c r="B61" t="s">
        <v>62</v>
      </c>
      <c r="C61" t="s">
        <v>643</v>
      </c>
      <c r="D61" t="s">
        <v>644</v>
      </c>
      <c r="E61" t="s">
        <v>658</v>
      </c>
    </row>
    <row r="62" spans="1:5" x14ac:dyDescent="0.25">
      <c r="A62" t="s">
        <v>63</v>
      </c>
      <c r="B62" t="s">
        <v>679</v>
      </c>
      <c r="C62" t="s">
        <v>64</v>
      </c>
      <c r="D62" t="s">
        <v>680</v>
      </c>
      <c r="E62" t="s">
        <v>658</v>
      </c>
    </row>
    <row r="63" spans="1:5" x14ac:dyDescent="0.25">
      <c r="A63" t="s">
        <v>66</v>
      </c>
      <c r="B63" t="s">
        <v>645</v>
      </c>
      <c r="C63" t="s">
        <v>67</v>
      </c>
      <c r="D63" t="s">
        <v>646</v>
      </c>
      <c r="E63" t="s">
        <v>658</v>
      </c>
    </row>
    <row r="64" spans="1:5" x14ac:dyDescent="0.25">
      <c r="A64" t="s">
        <v>491</v>
      </c>
      <c r="B64" t="s">
        <v>647</v>
      </c>
      <c r="C64" t="s">
        <v>648</v>
      </c>
      <c r="E64" t="s">
        <v>658</v>
      </c>
    </row>
    <row r="65" spans="1:5" x14ac:dyDescent="0.25">
      <c r="A65" t="s">
        <v>69</v>
      </c>
      <c r="B65" t="s">
        <v>649</v>
      </c>
      <c r="C65" t="s">
        <v>650</v>
      </c>
      <c r="E65" t="s">
        <v>658</v>
      </c>
    </row>
    <row r="66" spans="1:5" x14ac:dyDescent="0.25">
      <c r="A66" t="s">
        <v>72</v>
      </c>
      <c r="B66" t="s">
        <v>651</v>
      </c>
      <c r="C66" t="s">
        <v>73</v>
      </c>
      <c r="D66" t="s">
        <v>652</v>
      </c>
      <c r="E66" t="s">
        <v>658</v>
      </c>
    </row>
    <row r="67" spans="1:5" x14ac:dyDescent="0.25">
      <c r="A67" t="s">
        <v>497</v>
      </c>
      <c r="B67" t="s">
        <v>653</v>
      </c>
      <c r="C67" t="s">
        <v>498</v>
      </c>
      <c r="D67" t="s">
        <v>654</v>
      </c>
      <c r="E67" t="s">
        <v>658</v>
      </c>
    </row>
    <row r="68" spans="1:5" x14ac:dyDescent="0.25">
      <c r="A68" t="s">
        <v>471</v>
      </c>
      <c r="B68" t="s">
        <v>472</v>
      </c>
      <c r="C68" t="s">
        <v>472</v>
      </c>
      <c r="E68" t="s">
        <v>658</v>
      </c>
    </row>
    <row r="69" spans="1:5" x14ac:dyDescent="0.25">
      <c r="A69" t="s">
        <v>493</v>
      </c>
      <c r="B69" t="s">
        <v>655</v>
      </c>
      <c r="C69" t="s">
        <v>656</v>
      </c>
      <c r="D69" t="s">
        <v>657</v>
      </c>
      <c r="E69" t="s">
        <v>658</v>
      </c>
    </row>
    <row r="70" spans="1:5" x14ac:dyDescent="0.25">
      <c r="A70" t="s">
        <v>495</v>
      </c>
      <c r="B70" t="s">
        <v>496</v>
      </c>
      <c r="C70" t="s">
        <v>496</v>
      </c>
      <c r="E70" t="s">
        <v>658</v>
      </c>
    </row>
    <row r="71" spans="1:5" x14ac:dyDescent="0.25">
      <c r="A71" t="s">
        <v>483</v>
      </c>
      <c r="B71" t="s">
        <v>473</v>
      </c>
      <c r="C71" t="s">
        <v>483</v>
      </c>
      <c r="E71" t="s">
        <v>658</v>
      </c>
    </row>
    <row r="72" spans="1:5" x14ac:dyDescent="0.25">
      <c r="A72" t="s">
        <v>474</v>
      </c>
      <c r="B72" t="s">
        <v>476</v>
      </c>
      <c r="C72" t="s">
        <v>476</v>
      </c>
      <c r="E72" t="s">
        <v>658</v>
      </c>
    </row>
    <row r="73" spans="1:5" x14ac:dyDescent="0.25">
      <c r="A73" t="s">
        <v>477</v>
      </c>
      <c r="B73" t="s">
        <v>478</v>
      </c>
      <c r="C73" t="s">
        <v>477</v>
      </c>
      <c r="E73" t="s">
        <v>658</v>
      </c>
    </row>
    <row r="74" spans="1:5" x14ac:dyDescent="0.25">
      <c r="A74" t="s">
        <v>479</v>
      </c>
      <c r="B74" t="s">
        <v>681</v>
      </c>
      <c r="C74" t="s">
        <v>681</v>
      </c>
      <c r="E74" t="s">
        <v>658</v>
      </c>
    </row>
    <row r="75" spans="1:5" x14ac:dyDescent="0.25">
      <c r="A75" t="s">
        <v>481</v>
      </c>
      <c r="B75" t="s">
        <v>482</v>
      </c>
      <c r="C75" t="s">
        <v>481</v>
      </c>
      <c r="E75" t="s">
        <v>658</v>
      </c>
    </row>
    <row r="76" spans="1:5" x14ac:dyDescent="0.25">
      <c r="A76" t="s">
        <v>484</v>
      </c>
      <c r="B76" t="s">
        <v>485</v>
      </c>
      <c r="C76" t="s">
        <v>485</v>
      </c>
      <c r="E76" t="s">
        <v>658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D5C9-073F-4A44-8C03-0A9453C45B87}">
  <dimension ref="A6:T15"/>
  <sheetViews>
    <sheetView showGridLines="0" workbookViewId="0">
      <selection activeCell="A7" sqref="A7"/>
    </sheetView>
  </sheetViews>
  <sheetFormatPr defaultRowHeight="15" x14ac:dyDescent="0.25"/>
  <sheetData>
    <row r="6" spans="1:20" x14ac:dyDescent="0.25">
      <c r="A6" s="18" t="s">
        <v>322</v>
      </c>
      <c r="B6" s="19" t="s">
        <v>316</v>
      </c>
      <c r="C6" s="19" t="s">
        <v>2</v>
      </c>
      <c r="D6" s="19" t="s">
        <v>466</v>
      </c>
      <c r="E6" s="19" t="s">
        <v>464</v>
      </c>
      <c r="F6" s="19" t="s">
        <v>468</v>
      </c>
      <c r="G6" s="19" t="s">
        <v>325</v>
      </c>
      <c r="H6" s="19" t="s">
        <v>323</v>
      </c>
      <c r="I6" s="19" t="s">
        <v>148</v>
      </c>
      <c r="J6" s="19" t="s">
        <v>101</v>
      </c>
      <c r="K6" s="19" t="s">
        <v>151</v>
      </c>
      <c r="L6" s="19" t="s">
        <v>428</v>
      </c>
      <c r="M6" s="19" t="s">
        <v>445</v>
      </c>
      <c r="N6" s="19" t="s">
        <v>486</v>
      </c>
      <c r="O6" s="19" t="s">
        <v>465</v>
      </c>
      <c r="P6" s="19" t="s">
        <v>19</v>
      </c>
      <c r="Q6" s="19" t="s">
        <v>661</v>
      </c>
      <c r="R6" s="19" t="s">
        <v>660</v>
      </c>
      <c r="S6" s="19" t="s">
        <v>662</v>
      </c>
      <c r="T6" s="20" t="s">
        <v>490</v>
      </c>
    </row>
    <row r="7" spans="1:20" x14ac:dyDescent="0.25">
      <c r="A7" s="16" t="s">
        <v>444</v>
      </c>
      <c r="B7" s="4" t="s">
        <v>40</v>
      </c>
      <c r="C7" s="4" t="s">
        <v>507</v>
      </c>
      <c r="D7" s="4" t="s">
        <v>445</v>
      </c>
      <c r="E7" s="4" t="s">
        <v>454</v>
      </c>
      <c r="F7" s="4" cm="1">
        <f t="array" ref="F7">_xlfn.SWITCH(data[[#This Row],[diffusion_type]],"lognormal",0.0001,"normal",-0.01)*IF(data[[#This Row],[asset_class]]="Vol",1,1)</f>
        <v>1E-4</v>
      </c>
      <c r="G7" s="4"/>
      <c r="H7" s="4"/>
      <c r="I7" s="4"/>
      <c r="J7" s="4" t="e" cm="1">
        <f t="array" ref="J7">_xlfn.XLOOKUP(data[[#This Row],[factor_name]],_xlfn.ANCHORARRAY(composites!$I$2),_xlfn.ANCHORARRAY(composites!$J$2))</f>
        <v>#N/A</v>
      </c>
      <c r="K7" s="4">
        <v>1</v>
      </c>
      <c r="L7" s="4">
        <v>0</v>
      </c>
      <c r="M7" s="4">
        <v>0</v>
      </c>
      <c r="N7" s="4">
        <v>0</v>
      </c>
      <c r="O7" s="4" t="str">
        <f>data[[#This Row],[factor_name]]</f>
        <v>DIA</v>
      </c>
      <c r="P7" s="4" t="str" cm="1">
        <f t="array" ref="P7">_xlfn.IFS(data[[#This Row],[description_override]]&lt;&gt;"",data[[#This Row],[description_override]],data[[#This Row],[Description_GPT]]&lt;&gt;"",data[[#This Row],[Description_GPT]],data[[#This Row],[Underlying]]&lt;&gt;"",data[[#This Row],[Underlying]],TRUE,"-")</f>
        <v>Dow Jones 30</v>
      </c>
      <c r="Q7" s="4" t="str">
        <f>_xlfn.XLOOKUP(data[[#This Row],[ticker]],yf_desc[ticker],yf_desc[shortName],"-")</f>
        <v>SPDR Dow Jones Industrial Avera</v>
      </c>
      <c r="R7" s="4" t="str">
        <f>_xlfn.XLOOKUP(data[[#This Row],[ticker]],yf_desc[ticker],yf_desc[longName],"-")</f>
        <v>SPDR Dow Jones Industrial Average ETF Trust</v>
      </c>
      <c r="S7" s="4" t="str">
        <f>_xlfn.XLOOKUP(data[[#This Row],[ticker]],yf_desc[ticker],yf_desc[longBusinessSummary],"-")</f>
        <v>The Trust’s Portfolio consists of substantially all of the component common stocks that comprise the DJIA, which are weighted in accordance with the terms of the Trust Agreement.</v>
      </c>
      <c r="T7" s="17"/>
    </row>
    <row r="12" spans="1:20" x14ac:dyDescent="0.25">
      <c r="A12" s="13" t="s">
        <v>507</v>
      </c>
      <c r="B12" s="1" t="s">
        <v>175</v>
      </c>
      <c r="C12" s="14">
        <v>1.5</v>
      </c>
    </row>
    <row r="13" spans="1:20" x14ac:dyDescent="0.25">
      <c r="A13" s="12" t="s">
        <v>507</v>
      </c>
      <c r="B13" t="s">
        <v>431</v>
      </c>
      <c r="C13" s="15">
        <v>-1</v>
      </c>
    </row>
    <row r="14" spans="1:20" x14ac:dyDescent="0.25">
      <c r="A14" s="12" t="s">
        <v>507</v>
      </c>
      <c r="B14" t="s">
        <v>5</v>
      </c>
      <c r="C14" s="15">
        <v>1.5</v>
      </c>
    </row>
    <row r="15" spans="1:20" x14ac:dyDescent="0.25">
      <c r="A15" s="12" t="s">
        <v>507</v>
      </c>
      <c r="B15" t="s">
        <v>13</v>
      </c>
      <c r="C15" s="15">
        <v>-1</v>
      </c>
    </row>
  </sheetData>
  <conditionalFormatting sqref="A12:C15">
    <cfRule type="expression" dxfId="6" priority="1">
      <formula>$Q5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4FC6-78FE-492E-BECF-2EB9A04778A9}">
  <sheetPr codeName="Sheet6"/>
  <dimension ref="A1:AJ41"/>
  <sheetViews>
    <sheetView showGridLines="0" workbookViewId="0">
      <selection activeCell="F11" sqref="F11"/>
    </sheetView>
  </sheetViews>
  <sheetFormatPr defaultRowHeight="15" x14ac:dyDescent="0.25"/>
  <cols>
    <col min="1" max="1" width="15.42578125" customWidth="1"/>
    <col min="2" max="2" width="13.28515625" customWidth="1"/>
    <col min="3" max="3" width="12" bestFit="1" customWidth="1"/>
    <col min="4" max="13" width="12" customWidth="1"/>
    <col min="22" max="22" width="29.28515625" bestFit="1" customWidth="1"/>
  </cols>
  <sheetData>
    <row r="1" spans="1:36" x14ac:dyDescent="0.25">
      <c r="A1" t="s">
        <v>449</v>
      </c>
      <c r="B1" t="s">
        <v>2</v>
      </c>
      <c r="C1" t="s">
        <v>448</v>
      </c>
      <c r="N1" t="s">
        <v>435</v>
      </c>
      <c r="O1" t="s">
        <v>502</v>
      </c>
    </row>
    <row r="2" spans="1:36" x14ac:dyDescent="0.25">
      <c r="A2" t="s">
        <v>439</v>
      </c>
      <c r="B2" t="s">
        <v>51</v>
      </c>
      <c r="C2">
        <v>1</v>
      </c>
      <c r="E2" cm="1">
        <f t="array" ref="E2:E28">_xlfn.XLOOKUP(composities[portfolio_name],data[factor_name],data[Active])</f>
        <v>1</v>
      </c>
      <c r="H2" t="str" cm="1">
        <f t="array" ref="H2:H28">TEXT(composities[weight],IF(INT(composities[weight]*100)/100=composities[weight],"General","0.00"))</f>
        <v>1</v>
      </c>
      <c r="I2" t="str" cm="1">
        <f t="array" ref="I2:I10">_xlfn.UNIQUE(composities[portfolio_name])</f>
        <v>FED</v>
      </c>
      <c r="J2" t="str" cm="1">
        <f t="array" ref="J2:J10">_xlfn.BYROW(_xlfn.ANCHORARRAY(I2),_xlfn.LAMBDA(_xlpm.portfolio,_xlfn.TEXTJOIN(", ",,_xlfn.BYROW(_xlfn._xlws.FILTER(_xlfn.HSTACK(composities[factor_name],_xlfn.ANCHORARRAY($H$2)),composities[portfolio_name]=_xlpm.portfolio),_xlfn.LAMBDA(_xlpm.factor,_xlfn.TEXTJOIN(" ",,_xlpm.factor))))))</f>
        <v>SHY 1, BSV 1</v>
      </c>
      <c r="X2" t="b" cm="1">
        <f t="array" aca="1" ref="X2:X28" ca="1">composities[portfolio_name]&lt;&gt;OFFSET(composities[portfolio_name],-1,0)</f>
        <v>1</v>
      </c>
      <c r="AE2" t="s">
        <v>430</v>
      </c>
      <c r="AF2" t="s">
        <v>433</v>
      </c>
      <c r="AI2" t="s">
        <v>421</v>
      </c>
      <c r="AJ2" t="s">
        <v>439</v>
      </c>
    </row>
    <row r="3" spans="1:36" x14ac:dyDescent="0.25">
      <c r="A3" t="s">
        <v>439</v>
      </c>
      <c r="B3" t="s">
        <v>447</v>
      </c>
      <c r="C3">
        <v>1</v>
      </c>
      <c r="E3">
        <v>1</v>
      </c>
      <c r="H3" t="str">
        <v>1</v>
      </c>
      <c r="I3" t="str">
        <v>AI</v>
      </c>
      <c r="J3" t="str">
        <v>AIQ 1, QQQ 0.25, IWM -0.25</v>
      </c>
      <c r="X3" t="b">
        <f ca="1"/>
        <v>0</v>
      </c>
      <c r="AD3" t="s">
        <v>175</v>
      </c>
      <c r="AE3">
        <v>1</v>
      </c>
      <c r="AF3" t="s">
        <v>434</v>
      </c>
    </row>
    <row r="4" spans="1:36" x14ac:dyDescent="0.25">
      <c r="A4" t="s">
        <v>421</v>
      </c>
      <c r="B4" t="s">
        <v>403</v>
      </c>
      <c r="C4">
        <v>1</v>
      </c>
      <c r="E4">
        <v>1</v>
      </c>
      <c r="H4" t="str">
        <v>1</v>
      </c>
      <c r="I4" t="str">
        <v>GEOPOLITICS</v>
      </c>
      <c r="J4" t="str">
        <v>GLD 0.65, USO 0.3, ^VIX3M -0.15, FEZ -0.05</v>
      </c>
      <c r="X4" t="b">
        <f ca="1"/>
        <v>1</v>
      </c>
      <c r="AD4" t="s">
        <v>431</v>
      </c>
      <c r="AE4">
        <v>-1</v>
      </c>
      <c r="AF4" t="s">
        <v>434</v>
      </c>
      <c r="AG4" t="s">
        <v>432</v>
      </c>
    </row>
    <row r="5" spans="1:36" x14ac:dyDescent="0.25">
      <c r="A5" t="s">
        <v>421</v>
      </c>
      <c r="B5" t="s">
        <v>7</v>
      </c>
      <c r="C5">
        <v>0.25</v>
      </c>
      <c r="E5">
        <v>1</v>
      </c>
      <c r="H5" t="str">
        <v>0.25</v>
      </c>
      <c r="I5" t="str">
        <v>2s10s</v>
      </c>
      <c r="J5" t="str">
        <v>SHY -3.86, IEF 1</v>
      </c>
      <c r="X5" t="b">
        <f ca="1"/>
        <v>0</v>
      </c>
      <c r="AD5" t="s">
        <v>5</v>
      </c>
      <c r="AE5">
        <v>1</v>
      </c>
      <c r="AF5" t="s">
        <v>434</v>
      </c>
    </row>
    <row r="6" spans="1:36" x14ac:dyDescent="0.25">
      <c r="A6" t="s">
        <v>421</v>
      </c>
      <c r="B6" t="s">
        <v>5</v>
      </c>
      <c r="C6">
        <v>-0.25</v>
      </c>
      <c r="E6">
        <v>1</v>
      </c>
      <c r="H6" t="str">
        <v>-0.25</v>
      </c>
      <c r="I6" t="str">
        <v>XLPXLY</v>
      </c>
      <c r="J6" t="str">
        <v>XLP 1, XLY -1</v>
      </c>
      <c r="X6" t="b">
        <f ca="1"/>
        <v>0</v>
      </c>
      <c r="AD6" t="s">
        <v>8</v>
      </c>
      <c r="AE6">
        <v>-1</v>
      </c>
      <c r="AF6" t="s">
        <v>434</v>
      </c>
    </row>
    <row r="7" spans="1:36" x14ac:dyDescent="0.25">
      <c r="A7" t="s">
        <v>450</v>
      </c>
      <c r="B7" s="4" t="s">
        <v>57</v>
      </c>
      <c r="C7">
        <v>0.65</v>
      </c>
      <c r="E7">
        <v>1</v>
      </c>
      <c r="H7" t="str">
        <v>0.65</v>
      </c>
      <c r="I7" t="str">
        <v>TRADEWAR</v>
      </c>
      <c r="J7" t="str">
        <v>GLD 0.21, FXY 0.30, FXF 0.37, ^VIX3M -0.04, XLP 0.15, XLY -0.15</v>
      </c>
      <c r="X7" t="b">
        <f ca="1"/>
        <v>1</v>
      </c>
      <c r="AD7" t="s">
        <v>236</v>
      </c>
      <c r="AE7">
        <v>1</v>
      </c>
      <c r="AF7" t="s">
        <v>435</v>
      </c>
      <c r="AG7" t="s">
        <v>436</v>
      </c>
    </row>
    <row r="8" spans="1:36" x14ac:dyDescent="0.25">
      <c r="A8" t="s">
        <v>450</v>
      </c>
      <c r="B8" t="s">
        <v>61</v>
      </c>
      <c r="C8">
        <v>0.3</v>
      </c>
      <c r="E8">
        <v>1</v>
      </c>
      <c r="H8" t="str">
        <v>0.3</v>
      </c>
      <c r="I8" t="str">
        <v>IRAN</v>
      </c>
      <c r="J8" t="str">
        <v>USO 1</v>
      </c>
      <c r="X8" t="b">
        <f ca="1"/>
        <v>0</v>
      </c>
      <c r="AA8" t="s">
        <v>403</v>
      </c>
      <c r="AB8">
        <v>1</v>
      </c>
      <c r="AD8" t="s">
        <v>238</v>
      </c>
      <c r="AE8">
        <v>-1</v>
      </c>
      <c r="AF8" t="s">
        <v>435</v>
      </c>
    </row>
    <row r="9" spans="1:36" x14ac:dyDescent="0.25">
      <c r="A9" t="s">
        <v>450</v>
      </c>
      <c r="B9" t="s">
        <v>495</v>
      </c>
      <c r="C9">
        <v>-0.15</v>
      </c>
      <c r="E9">
        <v>1</v>
      </c>
      <c r="H9" t="str">
        <v>-0.15</v>
      </c>
      <c r="I9" t="str">
        <v>SEMI-SOFT</v>
      </c>
      <c r="J9" t="str">
        <v>SMH 1, IGV -1, QQQ 1</v>
      </c>
      <c r="X9" t="b">
        <f ca="1"/>
        <v>0</v>
      </c>
      <c r="AA9" t="s">
        <v>7</v>
      </c>
      <c r="AB9">
        <v>1</v>
      </c>
      <c r="AD9" t="s">
        <v>135</v>
      </c>
      <c r="AE9">
        <v>1</v>
      </c>
    </row>
    <row r="10" spans="1:36" x14ac:dyDescent="0.25">
      <c r="A10" t="s">
        <v>450</v>
      </c>
      <c r="B10" t="s">
        <v>13</v>
      </c>
      <c r="C10">
        <v>-0.05</v>
      </c>
      <c r="E10">
        <v>1</v>
      </c>
      <c r="F10" t="s">
        <v>728</v>
      </c>
      <c r="H10" t="str">
        <v>-0.05</v>
      </c>
      <c r="I10" t="str">
        <v>PRIVATES</v>
      </c>
      <c r="J10" t="str">
        <v>PSP 0.5, XLF -0.5, BKLN 0.5, LQDH -0.5</v>
      </c>
      <c r="X10" t="b">
        <f ca="1"/>
        <v>0</v>
      </c>
      <c r="AA10" t="s">
        <v>5</v>
      </c>
      <c r="AB10">
        <v>-1</v>
      </c>
      <c r="AD10" t="s">
        <v>49</v>
      </c>
      <c r="AE10">
        <v>-1</v>
      </c>
      <c r="AG10" t="s">
        <v>437</v>
      </c>
    </row>
    <row r="11" spans="1:36" x14ac:dyDescent="0.25">
      <c r="A11" t="s">
        <v>451</v>
      </c>
      <c r="B11" t="s">
        <v>51</v>
      </c>
      <c r="C11">
        <f>-C12*Y15/Y13</f>
        <v>-3.8633879781420766</v>
      </c>
      <c r="E11">
        <v>1</v>
      </c>
      <c r="H11" t="str">
        <v>-3.86</v>
      </c>
      <c r="X11" t="b">
        <f ca="1"/>
        <v>1</v>
      </c>
      <c r="AD11" t="s">
        <v>403</v>
      </c>
      <c r="AI11">
        <v>1</v>
      </c>
    </row>
    <row r="12" spans="1:36" x14ac:dyDescent="0.25">
      <c r="A12" t="s">
        <v>451</v>
      </c>
      <c r="B12" t="s">
        <v>131</v>
      </c>
      <c r="C12">
        <v>1</v>
      </c>
      <c r="E12">
        <v>1</v>
      </c>
      <c r="H12" t="str">
        <v>1</v>
      </c>
      <c r="X12" t="b">
        <f ca="1"/>
        <v>0</v>
      </c>
      <c r="AD12" t="s">
        <v>438</v>
      </c>
      <c r="AI12">
        <v>-1</v>
      </c>
    </row>
    <row r="13" spans="1:36" x14ac:dyDescent="0.25">
      <c r="A13" t="s">
        <v>503</v>
      </c>
      <c r="B13" t="s">
        <v>182</v>
      </c>
      <c r="C13" s="8">
        <v>1</v>
      </c>
      <c r="E13">
        <v>1</v>
      </c>
      <c r="H13" t="str">
        <v>1</v>
      </c>
      <c r="X13" t="b">
        <f ca="1"/>
        <v>1</v>
      </c>
      <c r="Y13">
        <v>1.83</v>
      </c>
      <c r="AD13" t="s">
        <v>440</v>
      </c>
    </row>
    <row r="14" spans="1:36" x14ac:dyDescent="0.25">
      <c r="A14" t="s">
        <v>503</v>
      </c>
      <c r="B14" t="s">
        <v>178</v>
      </c>
      <c r="C14" s="8">
        <v>-1</v>
      </c>
      <c r="E14">
        <v>1</v>
      </c>
      <c r="H14" t="str">
        <v>-1</v>
      </c>
      <c r="X14" t="b">
        <f ca="1"/>
        <v>0</v>
      </c>
    </row>
    <row r="15" spans="1:36" x14ac:dyDescent="0.25">
      <c r="A15" t="s">
        <v>500</v>
      </c>
      <c r="B15" t="s">
        <v>57</v>
      </c>
      <c r="C15" s="8" cm="1">
        <f t="array" ref="C15">O18/N18*$P$18/SUM(ABS(($O$18:$O$22)))</f>
        <v>0.20547945205479451</v>
      </c>
      <c r="E15">
        <v>1</v>
      </c>
      <c r="H15" t="str">
        <v>0.21</v>
      </c>
      <c r="X15" t="b">
        <f ca="1"/>
        <v>1</v>
      </c>
      <c r="Y15">
        <v>7.07</v>
      </c>
      <c r="Z15">
        <f>Y15/Y13</f>
        <v>3.8633879781420766</v>
      </c>
      <c r="AD15" t="s">
        <v>441</v>
      </c>
    </row>
    <row r="16" spans="1:36" x14ac:dyDescent="0.25">
      <c r="A16" t="s">
        <v>500</v>
      </c>
      <c r="B16" t="s">
        <v>72</v>
      </c>
      <c r="C16" s="8">
        <f>O19/N19*$P$18/COUNT($O$18:$O$22)</f>
        <v>0.29702970297029702</v>
      </c>
      <c r="D16" s="8"/>
      <c r="E16">
        <v>1</v>
      </c>
      <c r="G16" s="8"/>
      <c r="H16" s="8" t="str">
        <v>0.30</v>
      </c>
      <c r="I16" s="8"/>
      <c r="J16" s="8"/>
      <c r="K16" s="8"/>
      <c r="L16" s="8"/>
      <c r="M16" s="8"/>
      <c r="O16">
        <v>3</v>
      </c>
      <c r="Q16" t="s">
        <v>503</v>
      </c>
      <c r="R16">
        <v>22</v>
      </c>
      <c r="X16" t="b">
        <f ca="1"/>
        <v>0</v>
      </c>
    </row>
    <row r="17" spans="1:26" x14ac:dyDescent="0.25">
      <c r="A17" t="s">
        <v>500</v>
      </c>
      <c r="B17" t="s">
        <v>497</v>
      </c>
      <c r="C17" s="8">
        <f>O20/N20*$P$18/COUNT($O$18:$O$22)</f>
        <v>0.36585365853658536</v>
      </c>
      <c r="D17" s="8"/>
      <c r="E17">
        <v>1</v>
      </c>
      <c r="G17" s="8"/>
      <c r="H17" s="8" t="str">
        <v>0.37</v>
      </c>
      <c r="I17" s="8"/>
      <c r="J17" s="8"/>
      <c r="K17" s="8"/>
      <c r="L17" s="8"/>
      <c r="M17" s="8"/>
      <c r="R17">
        <v>16</v>
      </c>
      <c r="X17" t="b">
        <f ca="1"/>
        <v>0</v>
      </c>
    </row>
    <row r="18" spans="1:26" x14ac:dyDescent="0.25">
      <c r="A18" t="s">
        <v>500</v>
      </c>
      <c r="B18" t="s">
        <v>495</v>
      </c>
      <c r="C18" s="8">
        <f>O21/N21*$P$18/COUNT($O$18:$O$22)</f>
        <v>-3.7499999999999999E-2</v>
      </c>
      <c r="D18" s="8"/>
      <c r="E18">
        <v>1</v>
      </c>
      <c r="G18" s="8"/>
      <c r="H18" s="8" t="str">
        <v>-0.04</v>
      </c>
      <c r="I18" s="8"/>
      <c r="J18" s="8"/>
      <c r="K18" s="8"/>
      <c r="L18" s="8"/>
      <c r="M18" s="8"/>
      <c r="N18">
        <v>14.6</v>
      </c>
      <c r="O18">
        <v>1</v>
      </c>
      <c r="P18" s="9">
        <v>15</v>
      </c>
      <c r="W18" cm="1">
        <f t="array" ref="W18:W21">C15:C18*N18:N21</f>
        <v>2.9999999999999996</v>
      </c>
      <c r="X18" t="b">
        <f ca="1"/>
        <v>0</v>
      </c>
    </row>
    <row r="19" spans="1:26" x14ac:dyDescent="0.25">
      <c r="A19" t="s">
        <v>500</v>
      </c>
      <c r="B19" t="str">
        <f t="shared" ref="B19:B20" si="0">B13</f>
        <v>XLP</v>
      </c>
      <c r="C19" s="8">
        <f>O22/N22*$P$18/COUNT($O$18:$O$22)</f>
        <v>0.15</v>
      </c>
      <c r="D19" s="8"/>
      <c r="E19">
        <v>1</v>
      </c>
      <c r="G19" s="8"/>
      <c r="H19" s="8" t="str">
        <v>0.15</v>
      </c>
      <c r="I19" s="8"/>
      <c r="J19" s="8"/>
      <c r="K19" s="8"/>
      <c r="L19" s="8"/>
      <c r="M19" s="8"/>
      <c r="N19">
        <v>10.1</v>
      </c>
      <c r="O19">
        <v>1</v>
      </c>
      <c r="W19">
        <v>2.9999999999999996</v>
      </c>
      <c r="X19" t="b">
        <f ca="1"/>
        <v>0</v>
      </c>
    </row>
    <row r="20" spans="1:26" x14ac:dyDescent="0.25">
      <c r="A20" t="s">
        <v>500</v>
      </c>
      <c r="B20" t="str">
        <f t="shared" si="0"/>
        <v>XLY</v>
      </c>
      <c r="C20" s="8">
        <f>-C19</f>
        <v>-0.15</v>
      </c>
      <c r="D20" s="8"/>
      <c r="E20">
        <v>1</v>
      </c>
      <c r="G20" s="8"/>
      <c r="H20" s="8" t="str">
        <v>-0.15</v>
      </c>
      <c r="I20" s="8"/>
      <c r="J20" s="8"/>
      <c r="K20" s="8"/>
      <c r="L20" s="8"/>
      <c r="M20" s="8"/>
      <c r="N20">
        <v>8.1999999999999993</v>
      </c>
      <c r="O20">
        <v>1</v>
      </c>
      <c r="W20">
        <v>2.9999999999999996</v>
      </c>
      <c r="X20" t="b">
        <f ca="1"/>
        <v>0</v>
      </c>
      <c r="Z20" t="s">
        <v>501</v>
      </c>
    </row>
    <row r="21" spans="1:26" x14ac:dyDescent="0.25">
      <c r="A21" t="s">
        <v>722</v>
      </c>
      <c r="B21" t="s">
        <v>61</v>
      </c>
      <c r="C21" s="8">
        <v>1</v>
      </c>
      <c r="D21" s="8"/>
      <c r="E21">
        <v>1</v>
      </c>
      <c r="G21" s="8"/>
      <c r="H21" s="8" t="str">
        <v>1</v>
      </c>
      <c r="I21" s="8"/>
      <c r="J21" s="8"/>
      <c r="K21" s="8"/>
      <c r="L21" s="8"/>
      <c r="M21" s="8"/>
      <c r="N21">
        <v>80</v>
      </c>
      <c r="O21">
        <v>-1</v>
      </c>
      <c r="W21">
        <v>-3</v>
      </c>
      <c r="X21" t="b">
        <f ca="1"/>
        <v>1</v>
      </c>
    </row>
    <row r="22" spans="1:26" x14ac:dyDescent="0.25">
      <c r="A22" t="s">
        <v>723</v>
      </c>
      <c r="B22" t="s">
        <v>710</v>
      </c>
      <c r="C22" s="8">
        <v>1</v>
      </c>
      <c r="D22" s="8"/>
      <c r="E22">
        <v>1</v>
      </c>
      <c r="G22" s="8"/>
      <c r="H22" s="8" t="str">
        <v>1</v>
      </c>
      <c r="I22" s="8"/>
      <c r="J22" s="8"/>
      <c r="K22" s="8"/>
      <c r="L22" s="8"/>
      <c r="M22" s="8"/>
      <c r="N22">
        <v>20</v>
      </c>
      <c r="O22">
        <v>1</v>
      </c>
      <c r="X22" t="b">
        <f ca="1"/>
        <v>1</v>
      </c>
    </row>
    <row r="23" spans="1:26" x14ac:dyDescent="0.25">
      <c r="A23" t="s">
        <v>723</v>
      </c>
      <c r="B23" t="s">
        <v>711</v>
      </c>
      <c r="C23" s="8">
        <v>-1</v>
      </c>
      <c r="D23" s="8"/>
      <c r="E23">
        <v>1</v>
      </c>
      <c r="G23" s="8"/>
      <c r="H23" s="8" t="str">
        <v>-1</v>
      </c>
      <c r="I23" s="8"/>
      <c r="J23" s="8"/>
      <c r="K23" s="8"/>
      <c r="L23" s="8"/>
      <c r="M23" s="8"/>
      <c r="X23" t="b">
        <f ca="1"/>
        <v>0</v>
      </c>
    </row>
    <row r="24" spans="1:26" x14ac:dyDescent="0.25">
      <c r="A24" t="s">
        <v>723</v>
      </c>
      <c r="B24" t="s">
        <v>7</v>
      </c>
      <c r="C24" s="8">
        <v>1</v>
      </c>
      <c r="E24">
        <v>1</v>
      </c>
      <c r="H24" t="str">
        <v>1</v>
      </c>
      <c r="X24" t="b">
        <f ca="1"/>
        <v>0</v>
      </c>
    </row>
    <row r="25" spans="1:26" x14ac:dyDescent="0.25">
      <c r="A25" t="s">
        <v>727</v>
      </c>
      <c r="B25" t="s">
        <v>724</v>
      </c>
      <c r="C25" s="8">
        <v>0.5</v>
      </c>
      <c r="E25">
        <v>1</v>
      </c>
      <c r="H25" t="str">
        <v>0.5</v>
      </c>
      <c r="X25" t="b">
        <f ca="1"/>
        <v>1</v>
      </c>
    </row>
    <row r="26" spans="1:26" x14ac:dyDescent="0.25">
      <c r="A26" t="s">
        <v>727</v>
      </c>
      <c r="B26" t="s">
        <v>175</v>
      </c>
      <c r="C26" s="8">
        <v>-0.5</v>
      </c>
      <c r="E26">
        <v>1</v>
      </c>
      <c r="H26" t="str">
        <v>-0.5</v>
      </c>
      <c r="X26" t="b">
        <f ca="1"/>
        <v>0</v>
      </c>
    </row>
    <row r="27" spans="1:26" x14ac:dyDescent="0.25">
      <c r="A27" t="s">
        <v>727</v>
      </c>
      <c r="B27" t="s">
        <v>293</v>
      </c>
      <c r="C27" s="8">
        <v>0.5</v>
      </c>
      <c r="E27">
        <v>1</v>
      </c>
      <c r="H27" t="str">
        <v>0.5</v>
      </c>
      <c r="X27" t="b">
        <f ca="1"/>
        <v>0</v>
      </c>
    </row>
    <row r="28" spans="1:26" x14ac:dyDescent="0.25">
      <c r="A28" t="s">
        <v>727</v>
      </c>
      <c r="B28" t="s">
        <v>347</v>
      </c>
      <c r="C28" s="8">
        <v>-0.5</v>
      </c>
      <c r="E28">
        <v>1</v>
      </c>
      <c r="H28" t="str">
        <v>-0.5</v>
      </c>
      <c r="X28" t="b">
        <f ca="1"/>
        <v>0</v>
      </c>
    </row>
    <row r="29" spans="1:26" x14ac:dyDescent="0.25">
      <c r="C29" s="8"/>
    </row>
    <row r="30" spans="1:26" x14ac:dyDescent="0.25">
      <c r="C30" s="8"/>
    </row>
    <row r="31" spans="1:26" x14ac:dyDescent="0.25">
      <c r="C31" s="8"/>
    </row>
    <row r="32" spans="1:26" x14ac:dyDescent="0.25">
      <c r="C32" s="8"/>
    </row>
    <row r="33" spans="1:26" x14ac:dyDescent="0.25">
      <c r="C33" s="8"/>
    </row>
    <row r="34" spans="1:26" x14ac:dyDescent="0.25">
      <c r="Q34" t="e" vm="1">
        <f>_xlfn.TEXTJOIN(", ",,_xlfn.ANCHORARRAY(Q36))</f>
        <v>#VALUE!</v>
      </c>
    </row>
    <row r="36" spans="1:26" x14ac:dyDescent="0.25">
      <c r="D36" s="8"/>
      <c r="G36" s="8"/>
      <c r="H36" s="8"/>
      <c r="I36" s="8"/>
      <c r="J36" s="8"/>
      <c r="K36" s="8"/>
      <c r="L36" s="8"/>
      <c r="M36" s="8"/>
      <c r="N36">
        <v>14.6</v>
      </c>
      <c r="O36">
        <v>3</v>
      </c>
      <c r="Q36" t="e" cm="1" vm="2">
        <f t="array" ref="Q36">_xlfn._xlws.FILTER(composities[[factor_name]:[weight]],composities[portfolio_name]="ELECTION")</f>
        <v>#VALUE!</v>
      </c>
      <c r="T36" t="str" cm="1">
        <f t="array" ref="T36:U37">_xlfn._xlws.FILTER(composities[[factor_name]:[weight]],composities[portfolio_name]="2s10s")</f>
        <v>SHY</v>
      </c>
      <c r="U36">
        <v>-3.8633879781420766</v>
      </c>
      <c r="V36" t="e" cm="1" vm="2">
        <f t="array" ref="V36">_xlfn.LET(_xlpm.f,_xlfn._xlws.FILTER(composities[[factor_name]:[weight]],composities[portfolio_name]="ELECTION"),_xlfn.TEXTJOIN("; ",,_xlfn.BYROW(_xlpm.f,_xlfn.LAMBDA(_xlpm.row,_xlfn.TEXTJOIN(" ",,_xlpm.row)))))</f>
        <v>#VALUE!</v>
      </c>
      <c r="W36" cm="1">
        <f t="array" ref="W36:W39">C38:C41*N36:N39</f>
        <v>3</v>
      </c>
    </row>
    <row r="37" spans="1:26" x14ac:dyDescent="0.25">
      <c r="D37" s="8"/>
      <c r="G37" s="8"/>
      <c r="H37" s="8"/>
      <c r="I37" s="8"/>
      <c r="J37" s="8"/>
      <c r="K37" s="8"/>
      <c r="L37" s="8"/>
      <c r="M37" s="8"/>
      <c r="N37">
        <v>10.1</v>
      </c>
      <c r="O37">
        <v>3</v>
      </c>
      <c r="T37" t="str">
        <v>IEF</v>
      </c>
      <c r="U37">
        <v>1</v>
      </c>
      <c r="W37">
        <v>2.9999999999999996</v>
      </c>
    </row>
    <row r="38" spans="1:26" x14ac:dyDescent="0.25">
      <c r="A38" t="s">
        <v>504</v>
      </c>
      <c r="B38" t="s">
        <v>57</v>
      </c>
      <c r="C38" s="8">
        <f>O36/N36</f>
        <v>0.20547945205479454</v>
      </c>
      <c r="D38" s="8"/>
      <c r="G38" s="8"/>
      <c r="H38" s="8"/>
      <c r="I38" s="8"/>
      <c r="J38" s="8"/>
      <c r="K38" s="8"/>
      <c r="L38" s="8"/>
      <c r="M38" s="8"/>
      <c r="N38">
        <v>8.1999999999999993</v>
      </c>
      <c r="O38">
        <v>3</v>
      </c>
      <c r="W38">
        <v>3</v>
      </c>
      <c r="Z38" t="s">
        <v>501</v>
      </c>
    </row>
    <row r="39" spans="1:26" x14ac:dyDescent="0.25">
      <c r="A39" t="s">
        <v>504</v>
      </c>
      <c r="B39" t="s">
        <v>72</v>
      </c>
      <c r="C39" s="8">
        <f>O37/N37</f>
        <v>0.29702970297029702</v>
      </c>
      <c r="D39" s="8"/>
      <c r="G39" s="8"/>
      <c r="H39" s="8"/>
      <c r="I39" s="8"/>
      <c r="J39" s="8"/>
      <c r="K39" s="8"/>
      <c r="L39" s="8"/>
      <c r="M39" s="8"/>
      <c r="N39">
        <v>80</v>
      </c>
      <c r="O39">
        <f>-SUM(O36:O38)</f>
        <v>-9</v>
      </c>
      <c r="W39">
        <v>-9</v>
      </c>
    </row>
    <row r="40" spans="1:26" x14ac:dyDescent="0.25">
      <c r="A40" t="s">
        <v>504</v>
      </c>
      <c r="B40" t="s">
        <v>497</v>
      </c>
      <c r="C40" s="8">
        <f>O38/N38</f>
        <v>0.36585365853658541</v>
      </c>
    </row>
    <row r="41" spans="1:26" x14ac:dyDescent="0.25">
      <c r="A41" t="s">
        <v>504</v>
      </c>
      <c r="B41" t="s">
        <v>495</v>
      </c>
      <c r="C41" s="8">
        <f>O39/N39</f>
        <v>-0.1125</v>
      </c>
    </row>
  </sheetData>
  <conditionalFormatting sqref="A2:C10">
    <cfRule type="expression" dxfId="5" priority="38">
      <formula>$Q1048571</formula>
    </cfRule>
  </conditionalFormatting>
  <conditionalFormatting sqref="A11:C18 A25:C28">
    <cfRule type="expression" dxfId="4" priority="41">
      <formula>$T6</formula>
    </cfRule>
  </conditionalFormatting>
  <conditionalFormatting sqref="A19:C24">
    <cfRule type="expression" dxfId="3" priority="40">
      <formula>$T15</formula>
    </cfRule>
  </conditionalFormatting>
  <conditionalFormatting sqref="A29:C31">
    <cfRule type="expression" dxfId="2" priority="44">
      <formula>$T21</formula>
    </cfRule>
  </conditionalFormatting>
  <conditionalFormatting sqref="A32:C33">
    <cfRule type="expression" dxfId="1" priority="42">
      <formula>$T19</formula>
    </cfRule>
  </conditionalFormatting>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859C-7358-4E2F-B5CC-7696F1DAC449}">
  <sheetPr codeName="Sheet7"/>
  <dimension ref="A1:Y110"/>
  <sheetViews>
    <sheetView showGridLines="0" tabSelected="1" topLeftCell="A13" workbookViewId="0">
      <selection activeCell="H32" sqref="H32"/>
    </sheetView>
  </sheetViews>
  <sheetFormatPr defaultRowHeight="15" x14ac:dyDescent="0.25"/>
  <cols>
    <col min="1" max="1" width="12.28515625" customWidth="1"/>
    <col min="2" max="2" width="8.42578125" customWidth="1"/>
    <col min="3" max="3" width="13.28515625" bestFit="1" customWidth="1"/>
    <col min="5" max="5" width="10.140625" bestFit="1" customWidth="1"/>
    <col min="8" max="8" width="18.42578125" bestFit="1" customWidth="1"/>
    <col min="9" max="9" width="44.28515625" bestFit="1" customWidth="1"/>
    <col min="10" max="10" width="59.140625" bestFit="1" customWidth="1"/>
    <col min="18" max="18" width="29" bestFit="1" customWidth="1"/>
    <col min="19" max="19" width="61" bestFit="1" customWidth="1"/>
    <col min="21" max="21" width="13.5703125" bestFit="1" customWidth="1"/>
  </cols>
  <sheetData>
    <row r="1" spans="1:25" x14ac:dyDescent="0.25">
      <c r="A1" s="18" t="s">
        <v>322</v>
      </c>
      <c r="B1" s="19" t="s">
        <v>316</v>
      </c>
      <c r="C1" s="19" t="s">
        <v>2</v>
      </c>
      <c r="D1" s="19" t="s">
        <v>466</v>
      </c>
      <c r="E1" s="19" t="s">
        <v>464</v>
      </c>
      <c r="F1" s="19" t="s">
        <v>468</v>
      </c>
      <c r="G1" s="19" t="s">
        <v>325</v>
      </c>
      <c r="H1" s="19" t="s">
        <v>323</v>
      </c>
      <c r="I1" s="19" t="s">
        <v>148</v>
      </c>
      <c r="J1" s="19" t="s">
        <v>101</v>
      </c>
      <c r="K1" s="19" t="s">
        <v>151</v>
      </c>
      <c r="L1" s="19" t="s">
        <v>428</v>
      </c>
      <c r="M1" s="19" t="s">
        <v>445</v>
      </c>
      <c r="N1" s="19" t="s">
        <v>486</v>
      </c>
      <c r="O1" s="19" t="s">
        <v>465</v>
      </c>
      <c r="P1" s="19" t="s">
        <v>19</v>
      </c>
      <c r="Q1" s="19" t="s">
        <v>661</v>
      </c>
      <c r="R1" s="19" t="s">
        <v>660</v>
      </c>
      <c r="S1" s="19" t="s">
        <v>662</v>
      </c>
      <c r="T1" s="20" t="s">
        <v>490</v>
      </c>
    </row>
    <row r="2" spans="1:25" x14ac:dyDescent="0.25">
      <c r="A2" s="4" t="s">
        <v>39</v>
      </c>
      <c r="B2" s="4" t="s">
        <v>40</v>
      </c>
      <c r="C2" s="4" t="s">
        <v>4</v>
      </c>
      <c r="D2" s="4" t="s">
        <v>455</v>
      </c>
      <c r="E2" s="4" t="s">
        <v>454</v>
      </c>
      <c r="F2" s="4" cm="1">
        <f t="array" ref="F2">_xlfn.SWITCH(data[[#This Row],[diffusion_type]],"lognormal",0.0001,"normal",-0.01)*IF(data[[#This Row],[asset_class]]="Vol",1,1)</f>
        <v>1E-4</v>
      </c>
      <c r="G2" s="4" t="s">
        <v>0</v>
      </c>
      <c r="H2" s="4" t="s">
        <v>138</v>
      </c>
      <c r="I2" s="4" t="s">
        <v>41</v>
      </c>
      <c r="J2" s="4" t="s">
        <v>24</v>
      </c>
      <c r="K2" s="4">
        <v>1</v>
      </c>
      <c r="L2" s="4">
        <v>1</v>
      </c>
      <c r="M2" s="4">
        <v>0</v>
      </c>
      <c r="N2" s="4">
        <v>0</v>
      </c>
      <c r="O2" s="4" t="str">
        <f>data[[#This Row],[factor_name]]</f>
        <v>SPY</v>
      </c>
      <c r="P2" s="4" t="str" cm="1">
        <f t="array" ref="P2">_xlfn.IFS(data[[#This Row],[description_override]]&lt;&gt;"",data[[#This Row],[description_override]],data[[#This Row],[Description_GPT]]&lt;&gt;"",data[[#This Row],[Description_GPT]],data[[#This Row],[Underlying]]&lt;&gt;"",data[[#This Row],[Underlying]],TRUE,"-")</f>
        <v>S&amp;P 500</v>
      </c>
      <c r="Q2" s="4" t="str">
        <f>_xlfn.XLOOKUP(data[[#This Row],[ticker]],yf_desc[ticker],yf_desc[shortName],"-")</f>
        <v>SPDR S&amp;P 500</v>
      </c>
      <c r="R2" s="4" t="str">
        <f>_xlfn.XLOOKUP(data[[#This Row],[ticker]],yf_desc[ticker],yf_desc[longName],"-")</f>
        <v>SPDR S&amp;P 500 ETF</v>
      </c>
      <c r="S2" s="4" t="str">
        <f>_xlfn.XLOOKUP(data[[#This Row],[ticker]],yf_desc[ticker],yf_desc[longBusinessSummary],"-")</f>
        <v>The trust seeks to achieve its investment objective by holding a portfolio of the common stocks that are included in the index, with the weight of each stock in the portfolio substantially corresponding to the weight of such stock in the index.</v>
      </c>
      <c r="T2" s="4"/>
      <c r="U2" s="2"/>
    </row>
    <row r="3" spans="1:25" x14ac:dyDescent="0.25">
      <c r="A3" s="4" t="s">
        <v>39</v>
      </c>
      <c r="B3" s="4" t="s">
        <v>40</v>
      </c>
      <c r="C3" s="4" t="s">
        <v>5</v>
      </c>
      <c r="D3" s="4" t="s">
        <v>455</v>
      </c>
      <c r="E3" s="4" t="s">
        <v>454</v>
      </c>
      <c r="F3" s="4" cm="1">
        <f t="array" ref="F3">_xlfn.SWITCH(data[[#This Row],[diffusion_type]],"lognormal",0.0001,"normal",-0.01)*IF(data[[#This Row],[asset_class]]="Vol",1,1)</f>
        <v>1E-4</v>
      </c>
      <c r="G3" s="4" t="s">
        <v>1</v>
      </c>
      <c r="H3" s="4" t="s">
        <v>139</v>
      </c>
      <c r="I3" s="4" t="s">
        <v>42</v>
      </c>
      <c r="J3" s="4" t="s">
        <v>26</v>
      </c>
      <c r="K3" s="4">
        <v>1</v>
      </c>
      <c r="L3" s="4">
        <v>0</v>
      </c>
      <c r="M3" s="4">
        <v>0</v>
      </c>
      <c r="N3" s="4">
        <v>0</v>
      </c>
      <c r="O3" s="4" t="str">
        <f>data[[#This Row],[factor_name]]</f>
        <v>IWM</v>
      </c>
      <c r="P3" s="4" t="str" cm="1">
        <f t="array" ref="P3">_xlfn.IFS(data[[#This Row],[description_override]]&lt;&gt;"",data[[#This Row],[description_override]],data[[#This Row],[Description_GPT]]&lt;&gt;"",data[[#This Row],[Description_GPT]],data[[#This Row],[Underlying]]&lt;&gt;"",data[[#This Row],[Underlying]],TRUE,"-")</f>
        <v>Russell 2000</v>
      </c>
      <c r="Q3" s="4" t="str">
        <f>_xlfn.XLOOKUP(data[[#This Row],[ticker]],yf_desc[ticker],yf_desc[shortName],"-")</f>
        <v>iShares Russell 2000 ETF</v>
      </c>
      <c r="R3" s="4" t="str">
        <f>_xlfn.XLOOKUP(data[[#This Row],[ticker]],yf_desc[ticker],yf_desc[longName],"-")</f>
        <v>iShares Russell 2000 ETF</v>
      </c>
      <c r="S3" s="4" t="str">
        <f>_xlfn.XLOOKUP(data[[#This Row],[ticker]],yf_desc[ticker],yf_desc[longBusinessSummary],"-")</f>
        <v>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v>
      </c>
      <c r="T3" s="4"/>
      <c r="Y3" t="s">
        <v>470</v>
      </c>
    </row>
    <row r="4" spans="1:25" x14ac:dyDescent="0.25">
      <c r="A4" s="4" t="s">
        <v>39</v>
      </c>
      <c r="B4" s="4" t="s">
        <v>40</v>
      </c>
      <c r="C4" s="4" t="s">
        <v>361</v>
      </c>
      <c r="D4" s="4" t="s">
        <v>455</v>
      </c>
      <c r="E4" s="4" t="s">
        <v>454</v>
      </c>
      <c r="F4" s="4" cm="1">
        <f t="array" ref="F4">_xlfn.SWITCH(data[[#This Row],[diffusion_type]],"lognormal",0.0001,"normal",-0.01)*IF(data[[#This Row],[asset_class]]="Vol",1,1)</f>
        <v>1E-4</v>
      </c>
      <c r="G4" s="4" t="s">
        <v>424</v>
      </c>
      <c r="H4" s="4" t="s">
        <v>420</v>
      </c>
      <c r="I4" s="4" t="s">
        <v>362</v>
      </c>
      <c r="J4" s="4" t="s">
        <v>363</v>
      </c>
      <c r="K4" s="4">
        <v>1</v>
      </c>
      <c r="L4" s="4">
        <v>0</v>
      </c>
      <c r="M4" s="4">
        <v>0</v>
      </c>
      <c r="N4" s="4">
        <v>0</v>
      </c>
      <c r="O4" s="4" t="str">
        <f>data[[#This Row],[factor_name]]</f>
        <v>MDY</v>
      </c>
      <c r="P4" s="4" t="str" cm="1">
        <f t="array" ref="P4">_xlfn.IFS(data[[#This Row],[description_override]]&lt;&gt;"",data[[#This Row],[description_override]],data[[#This Row],[Description_GPT]]&lt;&gt;"",data[[#This Row],[Description_GPT]],data[[#This Row],[Underlying]]&lt;&gt;"",data[[#This Row],[Underlying]],TRUE,"-")</f>
        <v>S&amp;P 400</v>
      </c>
      <c r="Q4" s="4" t="str">
        <f>_xlfn.XLOOKUP(data[[#This Row],[ticker]],yf_desc[ticker],yf_desc[shortName],"-")</f>
        <v>SPDR S&amp;P MidCap 400 ETF Trust</v>
      </c>
      <c r="R4" s="4" t="str">
        <f>_xlfn.XLOOKUP(data[[#This Row],[ticker]],yf_desc[ticker],yf_desc[longName],"-")</f>
        <v>SPDR S&amp;P MIDCAP 400 ETF Trust</v>
      </c>
      <c r="S4" s="4" t="str">
        <f>_xlfn.XLOOKUP(data[[#This Row],[ticker]],yf_desc[ticker],yf_desc[longBusinessSummary],"-")</f>
        <v>The Trust seeks to achieve its investment objective by holding a portfolio of the common stocks that are included in the index (the “Portfolio”), with the weight of each stock in the Portfolio substantially corresponding to the weight of such stock in the index.</v>
      </c>
      <c r="T4" s="4"/>
    </row>
    <row r="5" spans="1:25" x14ac:dyDescent="0.25">
      <c r="A5" s="4" t="s">
        <v>39</v>
      </c>
      <c r="B5" s="4" t="s">
        <v>40</v>
      </c>
      <c r="C5" s="4" t="s">
        <v>438</v>
      </c>
      <c r="D5" s="4" t="s">
        <v>455</v>
      </c>
      <c r="E5" s="4" t="s">
        <v>454</v>
      </c>
      <c r="F5" s="4" cm="1">
        <f t="array" ref="F5">_xlfn.SWITCH(data[[#This Row],[diffusion_type]],"lognormal",0.0001,"normal",-0.01)*IF(data[[#This Row],[asset_class]]="Vol",1,1)</f>
        <v>1E-4</v>
      </c>
      <c r="G5" s="4"/>
      <c r="H5" s="4" t="s">
        <v>443</v>
      </c>
      <c r="I5" s="4"/>
      <c r="J5" s="4"/>
      <c r="K5" s="4">
        <v>1</v>
      </c>
      <c r="L5" s="4">
        <v>0</v>
      </c>
      <c r="M5" s="4">
        <v>0</v>
      </c>
      <c r="N5" s="4">
        <v>0</v>
      </c>
      <c r="O5" s="4" t="str">
        <f>data[[#This Row],[factor_name]]</f>
        <v>RSP</v>
      </c>
      <c r="P5" s="4" t="str" cm="1">
        <f t="array" ref="P5">_xlfn.IFS(data[[#This Row],[description_override]]&lt;&gt;"",data[[#This Row],[description_override]],data[[#This Row],[Description_GPT]]&lt;&gt;"",data[[#This Row],[Description_GPT]],data[[#This Row],[Underlying]]&lt;&gt;"",data[[#This Row],[Underlying]],TRUE,"-")</f>
        <v>S&amp;P 500 EW</v>
      </c>
      <c r="Q5" s="4" t="str">
        <f>_xlfn.XLOOKUP(data[[#This Row],[ticker]],yf_desc[ticker],yf_desc[shortName],"-")</f>
        <v>Invesco S&amp;P 500 Equal Weight ET</v>
      </c>
      <c r="R5" s="4" t="str">
        <f>_xlfn.XLOOKUP(data[[#This Row],[ticker]],yf_desc[ticker],yf_desc[longName],"-")</f>
        <v>Invesco S&amp;P 500 Equal Weight ETF</v>
      </c>
      <c r="S5" s="4" t="str">
        <f>_xlfn.XLOOKUP(data[[#This Row],[ticker]],yf_desc[ticker],yf_desc[longBusinessSummary],"-")</f>
        <v>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of the S&amp;P 500® Index.</v>
      </c>
      <c r="T5" s="4"/>
      <c r="Y5" t="s">
        <v>469</v>
      </c>
    </row>
    <row r="6" spans="1:25" x14ac:dyDescent="0.25">
      <c r="A6" s="4" t="s">
        <v>39</v>
      </c>
      <c r="B6" s="4" t="s">
        <v>40</v>
      </c>
      <c r="C6" s="4" t="s">
        <v>7</v>
      </c>
      <c r="D6" s="4" t="s">
        <v>455</v>
      </c>
      <c r="E6" s="4" t="s">
        <v>454</v>
      </c>
      <c r="F6" s="4" cm="1">
        <f t="array" ref="F6">_xlfn.SWITCH(data[[#This Row],[diffusion_type]],"lognormal",0.0001,"normal",-0.01)*IF(data[[#This Row],[asset_class]]="Vol",1,1)</f>
        <v>1E-4</v>
      </c>
      <c r="G6" s="4" t="s">
        <v>6</v>
      </c>
      <c r="H6" s="4" t="s">
        <v>140</v>
      </c>
      <c r="I6" s="4" t="s">
        <v>43</v>
      </c>
      <c r="J6" s="4" t="s">
        <v>28</v>
      </c>
      <c r="K6" s="4">
        <v>1</v>
      </c>
      <c r="L6" s="4">
        <v>0</v>
      </c>
      <c r="M6" s="4">
        <v>0</v>
      </c>
      <c r="N6" s="4">
        <v>0</v>
      </c>
      <c r="O6" s="4" t="str">
        <f>data[[#This Row],[factor_name]]</f>
        <v>QQQ</v>
      </c>
      <c r="P6" s="4" t="str" cm="1">
        <f t="array" ref="P6">_xlfn.IFS(data[[#This Row],[description_override]]&lt;&gt;"",data[[#This Row],[description_override]],data[[#This Row],[Description_GPT]]&lt;&gt;"",data[[#This Row],[Description_GPT]],data[[#This Row],[Underlying]]&lt;&gt;"",data[[#This Row],[Underlying]],TRUE,"-")</f>
        <v>Nasdaq 100</v>
      </c>
      <c r="Q6" s="4" t="str">
        <f>_xlfn.XLOOKUP(data[[#This Row],[ticker]],yf_desc[ticker],yf_desc[shortName],"-")</f>
        <v>Invesco QQQ Trust, Series 1</v>
      </c>
      <c r="R6" s="4" t="str">
        <f>_xlfn.XLOOKUP(data[[#This Row],[ticker]],yf_desc[ticker],yf_desc[longName],"-")</f>
        <v>Invesco QQQ Trust</v>
      </c>
      <c r="S6" s="4" t="str">
        <f>_xlfn.XLOOKUP(data[[#This Row],[ticker]],yf_desc[ticker],yf_desc[longBusinessSummary],"-")</f>
        <v>To maintain the correspondence between the composition and weights of the securities in the trust (the "securities") and the stocks in the NASDAQ-100 Index®, the adviser adjusts the securities from time to time to conform to periodic changes in the identity and/or relative weights of index securities. The composition and weighting of the securities portion of a portfolio deposit are also adjusted to conform to changes in the index.</v>
      </c>
      <c r="T6" s="4"/>
    </row>
    <row r="7" spans="1:25" x14ac:dyDescent="0.25">
      <c r="A7" s="4" t="s">
        <v>39</v>
      </c>
      <c r="B7" s="4" t="s">
        <v>40</v>
      </c>
      <c r="C7" s="4" t="s">
        <v>44</v>
      </c>
      <c r="D7" s="4" t="s">
        <v>455</v>
      </c>
      <c r="E7" s="4" t="s">
        <v>454</v>
      </c>
      <c r="F7" s="4" cm="1">
        <f t="array" ref="F7">_xlfn.SWITCH(data[[#This Row],[diffusion_type]],"lognormal",0.0001,"normal",-0.01)*IF(data[[#This Row],[asset_class]]="Vol",1,1)</f>
        <v>1E-4</v>
      </c>
      <c r="G7" s="4" t="s">
        <v>172</v>
      </c>
      <c r="H7" s="4" t="s">
        <v>154</v>
      </c>
      <c r="I7" s="4" t="s">
        <v>45</v>
      </c>
      <c r="J7" s="4" t="s">
        <v>102</v>
      </c>
      <c r="K7" s="4">
        <v>1</v>
      </c>
      <c r="L7" s="4">
        <v>0</v>
      </c>
      <c r="M7" s="4">
        <v>0</v>
      </c>
      <c r="N7" s="4">
        <v>0</v>
      </c>
      <c r="O7" s="4" t="str">
        <f>data[[#This Row],[factor_name]]</f>
        <v>DIA</v>
      </c>
      <c r="P7" s="4" t="str" cm="1">
        <f t="array" ref="P7">_xlfn.IFS(data[[#This Row],[description_override]]&lt;&gt;"",data[[#This Row],[description_override]],data[[#This Row],[Description_GPT]]&lt;&gt;"",data[[#This Row],[Description_GPT]],data[[#This Row],[Underlying]]&lt;&gt;"",data[[#This Row],[Underlying]],TRUE,"-")</f>
        <v>Dow Jones 30</v>
      </c>
      <c r="Q7" s="4" t="str">
        <f>_xlfn.XLOOKUP(data[[#This Row],[ticker]],yf_desc[ticker],yf_desc[shortName],"-")</f>
        <v>SPDR Dow Jones Industrial Avera</v>
      </c>
      <c r="R7" s="4" t="str">
        <f>_xlfn.XLOOKUP(data[[#This Row],[ticker]],yf_desc[ticker],yf_desc[longName],"-")</f>
        <v>SPDR Dow Jones Industrial Average ETF Trust</v>
      </c>
      <c r="S7" s="4" t="str">
        <f>_xlfn.XLOOKUP(data[[#This Row],[ticker]],yf_desc[ticker],yf_desc[longBusinessSummary],"-")</f>
        <v>The Trust’s Portfolio consists of substantially all of the component common stocks that comprise the DJIA, which are weighted in accordance with the terms of the Trust Agreement.</v>
      </c>
      <c r="T7" s="4"/>
    </row>
    <row r="8" spans="1:25" x14ac:dyDescent="0.25">
      <c r="A8" s="4" t="s">
        <v>425</v>
      </c>
      <c r="B8" s="4" t="s">
        <v>40</v>
      </c>
      <c r="C8" s="4" t="s">
        <v>173</v>
      </c>
      <c r="D8" s="4" t="s">
        <v>455</v>
      </c>
      <c r="E8" s="4" t="s">
        <v>454</v>
      </c>
      <c r="F8" s="4" cm="1">
        <f t="array" ref="F8">_xlfn.SWITCH(data[[#This Row],[diffusion_type]],"lognormal",0.0001,"normal",-0.01)*IF(data[[#This Row],[asset_class]]="Vol",1,1)</f>
        <v>1E-4</v>
      </c>
      <c r="G8" s="4"/>
      <c r="H8" s="4" t="s">
        <v>159</v>
      </c>
      <c r="I8" s="4" t="s">
        <v>370</v>
      </c>
      <c r="J8" s="4"/>
      <c r="K8" s="4">
        <v>1</v>
      </c>
      <c r="L8" s="4">
        <v>0</v>
      </c>
      <c r="M8" s="4">
        <v>0</v>
      </c>
      <c r="N8" s="4">
        <v>0</v>
      </c>
      <c r="O8" s="4" t="str">
        <f>data[[#This Row],[factor_name]]</f>
        <v>XLK</v>
      </c>
      <c r="P8" s="4" t="str" cm="1">
        <f t="array" ref="P8">_xlfn.IFS(data[[#This Row],[description_override]]&lt;&gt;"",data[[#This Row],[description_override]],data[[#This Row],[Description_GPT]]&lt;&gt;"",data[[#This Row],[Description_GPT]],data[[#This Row],[Underlying]]&lt;&gt;"",data[[#This Row],[Underlying]],TRUE,"-")</f>
        <v>Technology</v>
      </c>
      <c r="Q8" s="4" t="str">
        <f>_xlfn.XLOOKUP(data[[#This Row],[ticker]],yf_desc[ticker],yf_desc[shortName],"-")</f>
        <v>SPDR Select Sector Fund - Techn</v>
      </c>
      <c r="R8" s="4" t="str">
        <f>_xlfn.XLOOKUP(data[[#This Row],[ticker]],yf_desc[ticker],yf_desc[longName],"-")</f>
        <v>The Technology Select Sector SPDR Fund</v>
      </c>
      <c r="S8" s="4" t="str">
        <f>_xlfn.XLOOKUP(data[[#This Row],[ticker]],yf_desc[ticker],yf_desc[longBusinessSummary],"-")</f>
        <v>In seeking to track the performance of the index, the fund employs a replication strategy, which means that the fund typically invests in substantially all of the securities represented in the index in approximately the same proportions as the index. It generally invests substantially all, but at least 95%, of its total assets in the securities comprising the index. The fund is non-diversified.</v>
      </c>
      <c r="T8" s="4"/>
    </row>
    <row r="9" spans="1:25" x14ac:dyDescent="0.25">
      <c r="A9" s="4" t="s">
        <v>425</v>
      </c>
      <c r="B9" s="4" t="s">
        <v>40</v>
      </c>
      <c r="C9" s="4" t="s">
        <v>174</v>
      </c>
      <c r="D9" s="4" t="s">
        <v>455</v>
      </c>
      <c r="E9" s="4" t="s">
        <v>454</v>
      </c>
      <c r="F9" s="4" cm="1">
        <f t="array" ref="F9">_xlfn.SWITCH(data[[#This Row],[diffusion_type]],"lognormal",0.0001,"normal",-0.01)*IF(data[[#This Row],[asset_class]]="Vol",1,1)</f>
        <v>1E-4</v>
      </c>
      <c r="G9" s="4"/>
      <c r="H9" s="4" t="s">
        <v>160</v>
      </c>
      <c r="I9" s="4" t="s">
        <v>372</v>
      </c>
      <c r="J9" s="4"/>
      <c r="K9" s="4">
        <v>1</v>
      </c>
      <c r="L9" s="4">
        <v>0</v>
      </c>
      <c r="M9" s="4">
        <v>0</v>
      </c>
      <c r="N9" s="4">
        <v>0</v>
      </c>
      <c r="O9" s="4" t="str">
        <f>data[[#This Row],[factor_name]]</f>
        <v>XLI</v>
      </c>
      <c r="P9" s="4" t="str" cm="1">
        <f t="array" ref="P9">_xlfn.IFS(data[[#This Row],[description_override]]&lt;&gt;"",data[[#This Row],[description_override]],data[[#This Row],[Description_GPT]]&lt;&gt;"",data[[#This Row],[Description_GPT]],data[[#This Row],[Underlying]]&lt;&gt;"",data[[#This Row],[Underlying]],TRUE,"-")</f>
        <v>Industrials</v>
      </c>
      <c r="Q9" s="4" t="str">
        <f>_xlfn.XLOOKUP(data[[#This Row],[ticker]],yf_desc[ticker],yf_desc[shortName],"-")</f>
        <v>SPDR Select Sector Fund - Indus</v>
      </c>
      <c r="R9" s="4" t="str">
        <f>_xlfn.XLOOKUP(data[[#This Row],[ticker]],yf_desc[ticker],yf_desc[longName],"-")</f>
        <v>The Industrial Select Sector SPDR Fund</v>
      </c>
      <c r="S9" s="4" t="str">
        <f>_xlfn.XLOOKUP(data[[#This Row],[ticker]],yf_desc[ticker],yf_desc[longBusinessSummary],"-")</f>
        <v>Under normal market conditions, the fund generally invests substantially all, but at least 95%, of its total assets in the securities comprising the index. The index includes companies that have been identified as Industrial companies by the Global Industry Classification Standard, including securities of companies from the following industries: aerospace and defense; industrial conglomerates; marine transportation. It is non-diversified.</v>
      </c>
      <c r="T9" s="4"/>
    </row>
    <row r="10" spans="1:25" x14ac:dyDescent="0.25">
      <c r="A10" s="4" t="s">
        <v>425</v>
      </c>
      <c r="B10" s="4" t="s">
        <v>40</v>
      </c>
      <c r="C10" s="4" t="s">
        <v>175</v>
      </c>
      <c r="D10" s="4" t="s">
        <v>455</v>
      </c>
      <c r="E10" s="4" t="s">
        <v>454</v>
      </c>
      <c r="F10" s="4" cm="1">
        <f t="array" ref="F10">_xlfn.SWITCH(data[[#This Row],[diffusion_type]],"lognormal",0.0001,"normal",-0.01)*IF(data[[#This Row],[asset_class]]="Vol",1,1)</f>
        <v>1E-4</v>
      </c>
      <c r="G10" s="4"/>
      <c r="H10" s="4" t="s">
        <v>161</v>
      </c>
      <c r="I10" s="4" t="s">
        <v>374</v>
      </c>
      <c r="J10" s="4"/>
      <c r="K10" s="4">
        <v>1</v>
      </c>
      <c r="L10" s="4">
        <v>0</v>
      </c>
      <c r="M10" s="4">
        <v>0</v>
      </c>
      <c r="N10" s="4">
        <v>0</v>
      </c>
      <c r="O10" s="4" t="str">
        <f>data[[#This Row],[factor_name]]</f>
        <v>XLF</v>
      </c>
      <c r="P10" s="4" t="str" cm="1">
        <f t="array" ref="P10">_xlfn.IFS(data[[#This Row],[description_override]]&lt;&gt;"",data[[#This Row],[description_override]],data[[#This Row],[Description_GPT]]&lt;&gt;"",data[[#This Row],[Description_GPT]],data[[#This Row],[Underlying]]&lt;&gt;"",data[[#This Row],[Underlying]],TRUE,"-")</f>
        <v>Financials</v>
      </c>
      <c r="Q10" s="4" t="str">
        <f>_xlfn.XLOOKUP(data[[#This Row],[ticker]],yf_desc[ticker],yf_desc[shortName],"-")</f>
        <v>SPDR Select Sector Fund - Finan</v>
      </c>
      <c r="R10" s="4" t="str">
        <f>_xlfn.XLOOKUP(data[[#This Row],[ticker]],yf_desc[ticker],yf_desc[longName],"-")</f>
        <v>The Financial Select Sector SPDR Fund</v>
      </c>
      <c r="S10" s="4" t="str">
        <f>_xlfn.XLOOKUP(data[[#This Row],[ticker]],yf_desc[ticker],yf_desc[longBusinessSummary],"-")</f>
        <v>The fund generally invests substantially all, but at least 95%, of its total assets in the securities comprising the index. The index includes companies that have been identified as Financial companies by the Global Industry Classification Standard, including securities of companies from the following industries: financial services; insurance; banks; capital markets; mortgage real estate investment trusts; and consumer finance. The fund is non-diversified.</v>
      </c>
      <c r="T10" s="4"/>
    </row>
    <row r="11" spans="1:25" x14ac:dyDescent="0.25">
      <c r="A11" s="4" t="s">
        <v>425</v>
      </c>
      <c r="B11" s="4" t="s">
        <v>40</v>
      </c>
      <c r="C11" s="4" t="s">
        <v>176</v>
      </c>
      <c r="D11" s="4" t="s">
        <v>455</v>
      </c>
      <c r="E11" s="4" t="s">
        <v>454</v>
      </c>
      <c r="F11" s="4" cm="1">
        <f t="array" ref="F11">_xlfn.SWITCH(data[[#This Row],[diffusion_type]],"lognormal",0.0001,"normal",-0.01)*IF(data[[#This Row],[asset_class]]="Vol",1,1)</f>
        <v>1E-4</v>
      </c>
      <c r="G11" s="4"/>
      <c r="H11" s="4" t="s">
        <v>162</v>
      </c>
      <c r="I11" s="4" t="s">
        <v>376</v>
      </c>
      <c r="J11" s="4"/>
      <c r="K11" s="4">
        <v>1</v>
      </c>
      <c r="L11" s="4">
        <v>0</v>
      </c>
      <c r="M11" s="4">
        <v>0</v>
      </c>
      <c r="N11" s="4">
        <v>0</v>
      </c>
      <c r="O11" s="4" t="str">
        <f>data[[#This Row],[factor_name]]</f>
        <v>KRE</v>
      </c>
      <c r="P11" s="4" t="str" cm="1">
        <f t="array" ref="P11">_xlfn.IFS(data[[#This Row],[description_override]]&lt;&gt;"",data[[#This Row],[description_override]],data[[#This Row],[Description_GPT]]&lt;&gt;"",data[[#This Row],[Description_GPT]],data[[#This Row],[Underlying]]&lt;&gt;"",data[[#This Row],[Underlying]],TRUE,"-")</f>
        <v>Regional Banks</v>
      </c>
      <c r="Q11" s="4" t="str">
        <f>_xlfn.XLOOKUP(data[[#This Row],[ticker]],yf_desc[ticker],yf_desc[shortName],"-")</f>
        <v>SPDR S&amp;P Regional Banking ETF</v>
      </c>
      <c r="R11" s="4" t="str">
        <f>_xlfn.XLOOKUP(data[[#This Row],[ticker]],yf_desc[ticker],yf_desc[longName],"-")</f>
        <v>SPDR S&amp;P Regional Banking ETF</v>
      </c>
      <c r="S11" s="4" t="str">
        <f>_xlfn.XLOOKUP(data[[#This Row],[ticker]],yf_desc[ticker],yf_desc[longBusinessSummary],"-")</f>
        <v>In seeking to track the performance of the S&amp;P Regional Banks Select Industry Index (the "index"), the fund employs a sampling strategy. It generally invests substantially all, but at least 80%, of its total assets in the securities comprising the index. The index represents the regional banks segment of the S&amp;P Total Market Index ("S&amp;P TMI").</v>
      </c>
      <c r="T11" s="4"/>
    </row>
    <row r="12" spans="1:25" x14ac:dyDescent="0.25">
      <c r="A12" s="4" t="s">
        <v>425</v>
      </c>
      <c r="B12" s="4" t="s">
        <v>40</v>
      </c>
      <c r="C12" s="4" t="s">
        <v>177</v>
      </c>
      <c r="D12" s="4" t="s">
        <v>455</v>
      </c>
      <c r="E12" s="4" t="s">
        <v>454</v>
      </c>
      <c r="F12" s="4" cm="1">
        <f t="array" ref="F12">_xlfn.SWITCH(data[[#This Row],[diffusion_type]],"lognormal",0.0001,"normal",-0.01)*IF(data[[#This Row],[asset_class]]="Vol",1,1)</f>
        <v>1E-4</v>
      </c>
      <c r="G12" s="4"/>
      <c r="H12" s="4" t="s">
        <v>163</v>
      </c>
      <c r="I12" s="4" t="s">
        <v>378</v>
      </c>
      <c r="J12" s="4"/>
      <c r="K12" s="4">
        <v>1</v>
      </c>
      <c r="L12" s="4">
        <v>0</v>
      </c>
      <c r="M12" s="4">
        <v>0</v>
      </c>
      <c r="N12" s="4">
        <v>0</v>
      </c>
      <c r="O12" s="4" t="str">
        <f>data[[#This Row],[factor_name]]</f>
        <v>XLC</v>
      </c>
      <c r="P12" s="4" t="str" cm="1">
        <f t="array" ref="P12">_xlfn.IFS(data[[#This Row],[description_override]]&lt;&gt;"",data[[#This Row],[description_override]],data[[#This Row],[Description_GPT]]&lt;&gt;"",data[[#This Row],[Description_GPT]],data[[#This Row],[Underlying]]&lt;&gt;"",data[[#This Row],[Underlying]],TRUE,"-")</f>
        <v>Communications</v>
      </c>
      <c r="Q12" s="4" t="str">
        <f>_xlfn.XLOOKUP(data[[#This Row],[ticker]],yf_desc[ticker],yf_desc[shortName],"-")</f>
        <v>The Communication Services Sele</v>
      </c>
      <c r="R12" s="4" t="str">
        <f>_xlfn.XLOOKUP(data[[#This Row],[ticker]],yf_desc[ticker],yf_desc[longName],"-")</f>
        <v>The Communication Services Select Sector SPDR ETF Fund</v>
      </c>
      <c r="S12" s="4" t="str">
        <f>_xlfn.XLOOKUP(data[[#This Row],[ticker]],yf_desc[ticker],yf_desc[longBusinessSummary],"-")</f>
        <v>Normally, the fund generally invests substantially all, but at least 95%, of its total assets in the securities comprising the index. The index includes companies that have been identified as Communication Services companies by the GICS®, including securities of companies from the following industries: diversified telecommunication services; wireless telecommunication services; media; entertainment; and interactive media &amp; services. The fund is non-diversified.</v>
      </c>
      <c r="T12" s="4"/>
    </row>
    <row r="13" spans="1:25" x14ac:dyDescent="0.25">
      <c r="A13" s="4" t="s">
        <v>425</v>
      </c>
      <c r="B13" s="4" t="s">
        <v>40</v>
      </c>
      <c r="C13" s="4" t="s">
        <v>342</v>
      </c>
      <c r="D13" s="4" t="s">
        <v>455</v>
      </c>
      <c r="E13" s="4" t="s">
        <v>454</v>
      </c>
      <c r="F13" s="4" cm="1">
        <f t="array" ref="F13">_xlfn.SWITCH(data[[#This Row],[diffusion_type]],"lognormal",0.0001,"normal",-0.01)*IF(data[[#This Row],[asset_class]]="Vol",1,1)</f>
        <v>1E-4</v>
      </c>
      <c r="G13" s="4"/>
      <c r="H13" s="4" t="s">
        <v>164</v>
      </c>
      <c r="I13" s="4" t="s">
        <v>380</v>
      </c>
      <c r="J13" s="4"/>
      <c r="K13" s="4">
        <v>1</v>
      </c>
      <c r="L13" s="4">
        <v>0</v>
      </c>
      <c r="M13" s="4">
        <v>0</v>
      </c>
      <c r="N13" s="4">
        <v>0</v>
      </c>
      <c r="O13" s="4" t="str">
        <f>data[[#This Row],[factor_name]]</f>
        <v>XLE</v>
      </c>
      <c r="P13" s="4" t="str" cm="1">
        <f t="array" ref="P13">_xlfn.IFS(data[[#This Row],[description_override]]&lt;&gt;"",data[[#This Row],[description_override]],data[[#This Row],[Description_GPT]]&lt;&gt;"",data[[#This Row],[Description_GPT]],data[[#This Row],[Underlying]]&lt;&gt;"",data[[#This Row],[Underlying]],TRUE,"-")</f>
        <v>Energy</v>
      </c>
      <c r="Q13" s="4" t="str">
        <f>_xlfn.XLOOKUP(data[[#This Row],[ticker]],yf_desc[ticker],yf_desc[shortName],"-")</f>
        <v>SPDR Select Sector Fund - Energ</v>
      </c>
      <c r="R13" s="4" t="str">
        <f>_xlfn.XLOOKUP(data[[#This Row],[ticker]],yf_desc[ticker],yf_desc[longName],"-")</f>
        <v>The Energy Select Sector SPDR Fund</v>
      </c>
      <c r="S13" s="4" t="str">
        <f>_xlfn.XLOOKUP(data[[#This Row],[ticker]],yf_desc[ticker],yf_desc[longBusinessSummary],"-")</f>
        <v>In seeking to track the performance of the index, the fund employs a replication strategy. It generally invests substantially all, but at least 95%, of its total assets in the securities comprising the index. The index includes companies that have been identified as Energy companies by the GICS®, including securities of companies from the following industries: oil, gas and consumable fuels; and energy equipment and services. It is non-diversified.</v>
      </c>
      <c r="T13" s="4"/>
    </row>
    <row r="14" spans="1:25" x14ac:dyDescent="0.25">
      <c r="A14" s="4" t="s">
        <v>425</v>
      </c>
      <c r="B14" s="4" t="s">
        <v>40</v>
      </c>
      <c r="C14" s="4" t="s">
        <v>178</v>
      </c>
      <c r="D14" s="4" t="s">
        <v>455</v>
      </c>
      <c r="E14" s="4" t="s">
        <v>454</v>
      </c>
      <c r="F14" s="4" cm="1">
        <f t="array" ref="F14">_xlfn.SWITCH(data[[#This Row],[diffusion_type]],"lognormal",0.0001,"normal",-0.01)*IF(data[[#This Row],[asset_class]]="Vol",1,1)</f>
        <v>1E-4</v>
      </c>
      <c r="G14" s="4"/>
      <c r="H14" s="4" t="s">
        <v>165</v>
      </c>
      <c r="I14" s="4" t="s">
        <v>382</v>
      </c>
      <c r="J14" s="4"/>
      <c r="K14" s="4">
        <v>1</v>
      </c>
      <c r="L14" s="4">
        <v>0</v>
      </c>
      <c r="M14" s="4">
        <v>0</v>
      </c>
      <c r="N14" s="4">
        <v>0</v>
      </c>
      <c r="O14" s="4" t="str">
        <f>data[[#This Row],[factor_name]]</f>
        <v>XLY</v>
      </c>
      <c r="P14" s="4" t="str" cm="1">
        <f t="array" ref="P14">_xlfn.IFS(data[[#This Row],[description_override]]&lt;&gt;"",data[[#This Row],[description_override]],data[[#This Row],[Description_GPT]]&lt;&gt;"",data[[#This Row],[Description_GPT]],data[[#This Row],[Underlying]]&lt;&gt;"",data[[#This Row],[Underlying]],TRUE,"-")</f>
        <v>Discretionary</v>
      </c>
      <c r="Q14" s="4" t="str">
        <f>_xlfn.XLOOKUP(data[[#This Row],[ticker]],yf_desc[ticker],yf_desc[shortName],"-")</f>
        <v>SPDR Select Sector Fund - Consu</v>
      </c>
      <c r="R14" s="4" t="str">
        <f>_xlfn.XLOOKUP(data[[#This Row],[ticker]],yf_desc[ticker],yf_desc[longName],"-")</f>
        <v>The Consumer Discretionary Select Sector SPDR Fund</v>
      </c>
      <c r="S14" s="4" t="str">
        <f>_xlfn.XLOOKUP(data[[#This Row],[ticker]],yf_desc[ticker],yf_desc[longBusinessSummary],"-")</f>
        <v>The Advisor employs a replication strategy. The fund generally invests substantially all, but at least 95%, of its total assets in the securities comprising the index. The index includes companies that have been identified as Consumer Discretionary companies by the Global Industry Classification Standard (GICS®). It is non-diversified.</v>
      </c>
      <c r="T14" s="4"/>
    </row>
    <row r="15" spans="1:25" x14ac:dyDescent="0.25">
      <c r="A15" s="4" t="s">
        <v>425</v>
      </c>
      <c r="B15" s="4" t="s">
        <v>40</v>
      </c>
      <c r="C15" s="4" t="s">
        <v>179</v>
      </c>
      <c r="D15" s="4" t="s">
        <v>455</v>
      </c>
      <c r="E15" s="4" t="s">
        <v>454</v>
      </c>
      <c r="F15" s="4" cm="1">
        <f t="array" ref="F15">_xlfn.SWITCH(data[[#This Row],[diffusion_type]],"lognormal",0.0001,"normal",-0.01)*IF(data[[#This Row],[asset_class]]="Vol",1,1)</f>
        <v>1E-4</v>
      </c>
      <c r="G15" s="4"/>
      <c r="H15" s="4" t="s">
        <v>166</v>
      </c>
      <c r="I15" s="4" t="s">
        <v>384</v>
      </c>
      <c r="J15" s="4"/>
      <c r="K15" s="4">
        <v>1</v>
      </c>
      <c r="L15" s="4">
        <v>0</v>
      </c>
      <c r="M15" s="4">
        <v>0</v>
      </c>
      <c r="N15" s="4">
        <v>0</v>
      </c>
      <c r="O15" s="4" t="str">
        <f>data[[#This Row],[factor_name]]</f>
        <v>XLB</v>
      </c>
      <c r="P15" s="4" t="str" cm="1">
        <f t="array" ref="P15">_xlfn.IFS(data[[#This Row],[description_override]]&lt;&gt;"",data[[#This Row],[description_override]],data[[#This Row],[Description_GPT]]&lt;&gt;"",data[[#This Row],[Description_GPT]],data[[#This Row],[Underlying]]&lt;&gt;"",data[[#This Row],[Underlying]],TRUE,"-")</f>
        <v>Materials</v>
      </c>
      <c r="Q15" s="4" t="str">
        <f>_xlfn.XLOOKUP(data[[#This Row],[ticker]],yf_desc[ticker],yf_desc[shortName],"-")</f>
        <v>Materials Select Sector SPDR</v>
      </c>
      <c r="R15" s="4" t="str">
        <f>_xlfn.XLOOKUP(data[[#This Row],[ticker]],yf_desc[ticker],yf_desc[longName],"-")</f>
        <v>The Materials Select Sector SPDR Fund</v>
      </c>
      <c r="S15" s="4" t="str">
        <f>_xlfn.XLOOKUP(data[[#This Row],[ticker]],yf_desc[ticker],yf_desc[longBusinessSummary],"-")</f>
        <v>In seeking to track the performance of the index, the fund employs a replication strategy. It generally invests substantially all, but at least 95%, of its total assets in the securities comprising the index. The index includes securities of companies from the following industries: chemicals; metals and mining; paper and forest products; containers and packaging; and construction materials. The fund is non-diversified.</v>
      </c>
      <c r="T15" s="4"/>
    </row>
    <row r="16" spans="1:25" x14ac:dyDescent="0.25">
      <c r="A16" s="4" t="s">
        <v>425</v>
      </c>
      <c r="B16" s="4" t="s">
        <v>40</v>
      </c>
      <c r="C16" s="4" t="s">
        <v>180</v>
      </c>
      <c r="D16" s="4" t="s">
        <v>455</v>
      </c>
      <c r="E16" s="4" t="s">
        <v>454</v>
      </c>
      <c r="F16" s="4" cm="1">
        <f t="array" ref="F16">_xlfn.SWITCH(data[[#This Row],[diffusion_type]],"lognormal",0.0001,"normal",-0.01)*IF(data[[#This Row],[asset_class]]="Vol",1,1)</f>
        <v>1E-4</v>
      </c>
      <c r="G16" s="4"/>
      <c r="H16" s="4" t="s">
        <v>167</v>
      </c>
      <c r="I16" s="4" t="s">
        <v>386</v>
      </c>
      <c r="J16" s="4"/>
      <c r="K16" s="4">
        <v>1</v>
      </c>
      <c r="L16" s="4">
        <v>0</v>
      </c>
      <c r="M16" s="4">
        <v>0</v>
      </c>
      <c r="N16" s="4">
        <v>0</v>
      </c>
      <c r="O16" s="4" t="str">
        <f>data[[#This Row],[factor_name]]</f>
        <v>XLV</v>
      </c>
      <c r="P16" s="4" t="str" cm="1">
        <f t="array" ref="P16">_xlfn.IFS(data[[#This Row],[description_override]]&lt;&gt;"",data[[#This Row],[description_override]],data[[#This Row],[Description_GPT]]&lt;&gt;"",data[[#This Row],[Description_GPT]],data[[#This Row],[Underlying]]&lt;&gt;"",data[[#This Row],[Underlying]],TRUE,"-")</f>
        <v>Health Care</v>
      </c>
      <c r="Q16" s="4" t="str">
        <f>_xlfn.XLOOKUP(data[[#This Row],[ticker]],yf_desc[ticker],yf_desc[shortName],"-")</f>
        <v>SPDR Select Sector Fund - Healt</v>
      </c>
      <c r="R16" s="4" t="str">
        <f>_xlfn.XLOOKUP(data[[#This Row],[ticker]],yf_desc[ticker],yf_desc[longName],"-")</f>
        <v>The Health Care Select Sector SPDR Fund</v>
      </c>
      <c r="S16" s="4" t="str">
        <f>_xlfn.XLOOKUP(data[[#This Row],[ticker]],yf_desc[ticker],yf_desc[longBusinessSummary],"-")</f>
        <v>In seeking to track the performance of the index, the fund employs a replication strategy. It generally invests substantially all, but at least 95%, of its total assets in the securities comprising the index. The index includes companies from the following industries: pharmaceuticals; health care equipment &amp; supplies; health care providers &amp; services; biotechnology; life sciences tools &amp; services; and health care technology. The fund is non-diversified.</v>
      </c>
      <c r="T16" s="4"/>
    </row>
    <row r="17" spans="1:20" x14ac:dyDescent="0.25">
      <c r="A17" s="4" t="s">
        <v>425</v>
      </c>
      <c r="B17" s="4" t="s">
        <v>40</v>
      </c>
      <c r="C17" s="4" t="s">
        <v>181</v>
      </c>
      <c r="D17" s="4" t="s">
        <v>455</v>
      </c>
      <c r="E17" s="4" t="s">
        <v>454</v>
      </c>
      <c r="F17" s="4" cm="1">
        <f t="array" ref="F17">_xlfn.SWITCH(data[[#This Row],[diffusion_type]],"lognormal",0.0001,"normal",-0.01)*IF(data[[#This Row],[asset_class]]="Vol",1,1)</f>
        <v>1E-4</v>
      </c>
      <c r="G17" s="4"/>
      <c r="H17" s="4" t="s">
        <v>168</v>
      </c>
      <c r="I17" s="4" t="s">
        <v>388</v>
      </c>
      <c r="J17" s="4"/>
      <c r="K17" s="4">
        <v>1</v>
      </c>
      <c r="L17" s="4">
        <v>0</v>
      </c>
      <c r="M17" s="4">
        <v>0</v>
      </c>
      <c r="N17" s="4">
        <v>0</v>
      </c>
      <c r="O17" s="4" t="str">
        <f>data[[#This Row],[factor_name]]</f>
        <v>XLU</v>
      </c>
      <c r="P17" s="4" t="str" cm="1">
        <f t="array" ref="P17">_xlfn.IFS(data[[#This Row],[description_override]]&lt;&gt;"",data[[#This Row],[description_override]],data[[#This Row],[Description_GPT]]&lt;&gt;"",data[[#This Row],[Description_GPT]],data[[#This Row],[Underlying]]&lt;&gt;"",data[[#This Row],[Underlying]],TRUE,"-")</f>
        <v>Utilities</v>
      </c>
      <c r="Q17" s="4" t="str">
        <f>_xlfn.XLOOKUP(data[[#This Row],[ticker]],yf_desc[ticker],yf_desc[shortName],"-")</f>
        <v>SPDR Select Sector Fund - Utili</v>
      </c>
      <c r="R17" s="4" t="str">
        <f>_xlfn.XLOOKUP(data[[#This Row],[ticker]],yf_desc[ticker],yf_desc[longName],"-")</f>
        <v>The Utilities Select Sector SPDR Fund</v>
      </c>
      <c r="S17" s="4" t="str">
        <f>_xlfn.XLOOKUP(data[[#This Row],[ticker]],yf_desc[ticker],yf_desc[longBusinessSummary],"-")</f>
        <v>In seeking to track the performance of the index, the fund employs a replication strategy. It generally invests substantially all, but at least 95%, of its total assets in the securities comprising the index. The index includes securities of companies from the following industries: electric utilities; water utilities; multi-utilities; independent power and renewable electricity producers; and gas utilities. The fund is non-diversified.</v>
      </c>
      <c r="T17" s="4"/>
    </row>
    <row r="18" spans="1:20" x14ac:dyDescent="0.25">
      <c r="A18" s="4" t="s">
        <v>425</v>
      </c>
      <c r="B18" s="4" t="s">
        <v>40</v>
      </c>
      <c r="C18" s="4" t="s">
        <v>182</v>
      </c>
      <c r="D18" s="4" t="s">
        <v>455</v>
      </c>
      <c r="E18" s="4" t="s">
        <v>454</v>
      </c>
      <c r="F18" s="4" cm="1">
        <f t="array" ref="F18">_xlfn.SWITCH(data[[#This Row],[diffusion_type]],"lognormal",0.0001,"normal",-0.01)*IF(data[[#This Row],[asset_class]]="Vol",1,1)</f>
        <v>1E-4</v>
      </c>
      <c r="G18" s="4"/>
      <c r="H18" s="4" t="s">
        <v>169</v>
      </c>
      <c r="I18" s="4" t="s">
        <v>390</v>
      </c>
      <c r="J18" s="4"/>
      <c r="K18" s="4">
        <v>1</v>
      </c>
      <c r="L18" s="4">
        <v>0</v>
      </c>
      <c r="M18" s="4">
        <v>0</v>
      </c>
      <c r="N18" s="4">
        <v>0</v>
      </c>
      <c r="O18" s="4" t="str">
        <f>data[[#This Row],[factor_name]]</f>
        <v>XLP</v>
      </c>
      <c r="P18" s="4" t="str" cm="1">
        <f t="array" ref="P18">_xlfn.IFS(data[[#This Row],[description_override]]&lt;&gt;"",data[[#This Row],[description_override]],data[[#This Row],[Description_GPT]]&lt;&gt;"",data[[#This Row],[Description_GPT]],data[[#This Row],[Underlying]]&lt;&gt;"",data[[#This Row],[Underlying]],TRUE,"-")</f>
        <v>Staples</v>
      </c>
      <c r="Q18" s="4" t="str">
        <f>_xlfn.XLOOKUP(data[[#This Row],[ticker]],yf_desc[ticker],yf_desc[shortName],"-")</f>
        <v>SPDR Select Sector Fund - Consu</v>
      </c>
      <c r="R18" s="4" t="str">
        <f>_xlfn.XLOOKUP(data[[#This Row],[ticker]],yf_desc[ticker],yf_desc[longName],"-")</f>
        <v>The Consumer Staples Select Sector SPDR Fund</v>
      </c>
      <c r="S18" s="4" t="str">
        <f>_xlfn.XLOOKUP(data[[#This Row],[ticker]],yf_desc[ticker],yf_desc[longBusinessSummary],"-")</f>
        <v>In seeking to track the performance of the index, the fund employs a replication strategy. It generally invests substantially all, but at least 95%, of its total assets in the securities comprising the index. The index includes companies that have been identified as Consumer Staples companies by the GICS®. It is non-diversified.</v>
      </c>
      <c r="T18" s="4"/>
    </row>
    <row r="19" spans="1:20" x14ac:dyDescent="0.25">
      <c r="A19" s="4" t="s">
        <v>39</v>
      </c>
      <c r="B19" s="4" t="s">
        <v>40</v>
      </c>
      <c r="C19" s="4" t="s">
        <v>285</v>
      </c>
      <c r="D19" s="4" t="s">
        <v>455</v>
      </c>
      <c r="E19" s="4" t="s">
        <v>454</v>
      </c>
      <c r="F19" s="4" cm="1">
        <f t="array" ref="F19">_xlfn.SWITCH(data[[#This Row],[diffusion_type]],"lognormal",0.0001,"normal",-0.01)*IF(data[[#This Row],[asset_class]]="Vol",1,1)</f>
        <v>1E-4</v>
      </c>
      <c r="G19" s="4"/>
      <c r="H19" s="4"/>
      <c r="I19" s="4" t="s">
        <v>392</v>
      </c>
      <c r="J19" s="4"/>
      <c r="K19" s="4">
        <v>1</v>
      </c>
      <c r="L19" s="4">
        <v>0</v>
      </c>
      <c r="M19" s="4">
        <v>0</v>
      </c>
      <c r="N19" s="4">
        <v>0</v>
      </c>
      <c r="O19" s="4" t="str">
        <f>data[[#This Row],[factor_name]]</f>
        <v>IYR</v>
      </c>
      <c r="P19" s="4" t="str" cm="1">
        <f t="array" ref="P19">_xlfn.IFS(data[[#This Row],[description_override]]&lt;&gt;"",data[[#This Row],[description_override]],data[[#This Row],[Description_GPT]]&lt;&gt;"",data[[#This Row],[Description_GPT]],data[[#This Row],[Underlying]]&lt;&gt;"",data[[#This Row],[Underlying]],TRUE,"-")</f>
        <v>iShares U.S. Real Estate ETF</v>
      </c>
      <c r="Q19" s="4" t="str">
        <f>_xlfn.XLOOKUP(data[[#This Row],[ticker]],yf_desc[ticker],yf_desc[shortName],"-")</f>
        <v>iShares U.S. Real Estate ETF</v>
      </c>
      <c r="R19" s="4" t="str">
        <f>_xlfn.XLOOKUP(data[[#This Row],[ticker]],yf_desc[ticker],yf_desc[longName],"-")</f>
        <v>iShares U.S. Real Estate ETF</v>
      </c>
      <c r="S19" s="4" t="str">
        <f>_xlfn.XLOOKUP(data[[#This Row],[ticker]],yf_desc[ticker],yf_desc[longBusinessSummary],"-")</f>
        <v>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v>
      </c>
      <c r="T19" s="4"/>
    </row>
    <row r="20" spans="1:20" x14ac:dyDescent="0.25">
      <c r="A20" s="4" t="s">
        <v>39</v>
      </c>
      <c r="B20" s="4" t="s">
        <v>40</v>
      </c>
      <c r="C20" s="4" t="s">
        <v>364</v>
      </c>
      <c r="D20" s="4" t="s">
        <v>455</v>
      </c>
      <c r="E20" s="4" t="s">
        <v>454</v>
      </c>
      <c r="F20" s="4" cm="1">
        <f t="array" ref="F20">_xlfn.SWITCH(data[[#This Row],[diffusion_type]],"lognormal",0.0001,"normal",-0.01)*IF(data[[#This Row],[asset_class]]="Vol",1,1)</f>
        <v>1E-4</v>
      </c>
      <c r="G20" s="4"/>
      <c r="H20" s="4"/>
      <c r="I20" s="4" t="s">
        <v>365</v>
      </c>
      <c r="J20" s="4"/>
      <c r="K20" s="4">
        <v>1</v>
      </c>
      <c r="L20" s="4">
        <v>0</v>
      </c>
      <c r="M20" s="4">
        <v>0</v>
      </c>
      <c r="N20" s="4">
        <v>0</v>
      </c>
      <c r="O20" s="4" t="str">
        <f>data[[#This Row],[factor_name]]</f>
        <v>VNQ</v>
      </c>
      <c r="P20" s="4" t="str" cm="1">
        <f t="array" ref="P20">_xlfn.IFS(data[[#This Row],[description_override]]&lt;&gt;"",data[[#This Row],[description_override]],data[[#This Row],[Description_GPT]]&lt;&gt;"",data[[#This Row],[Description_GPT]],data[[#This Row],[Underlying]]&lt;&gt;"",data[[#This Row],[Underlying]],TRUE,"-")</f>
        <v>Vanguard Real Estate ETF</v>
      </c>
      <c r="Q20" s="4" t="str">
        <f>_xlfn.XLOOKUP(data[[#This Row],[ticker]],yf_desc[ticker],yf_desc[shortName],"-")</f>
        <v>Vanguard Real Estate ETF</v>
      </c>
      <c r="R20" s="4" t="str">
        <f>_xlfn.XLOOKUP(data[[#This Row],[ticker]],yf_desc[ticker],yf_desc[longName],"-")</f>
        <v>Vanguard Real Estate Index Fund ETF Shares</v>
      </c>
      <c r="S20" s="4" t="str">
        <f>_xlfn.XLOOKUP(data[[#This Row],[ticker]],yf_desc[ticker],yf_desc[longBusinessSummary],"-")</f>
        <v>The advisor attempts to track the index by investing all, or substantially all, of its assets-either directly or indirectly through a wholly owned subsidiary, which is itself a registered investment company-in the stocks that make up the index, holding each stock in approximately the same proportion as its weighting in the index. The fund is non-diversified.</v>
      </c>
      <c r="T20" s="4"/>
    </row>
    <row r="21" spans="1:20" x14ac:dyDescent="0.25">
      <c r="A21" s="4" t="s">
        <v>39</v>
      </c>
      <c r="B21" s="4" t="s">
        <v>40</v>
      </c>
      <c r="C21" s="4" t="s">
        <v>710</v>
      </c>
      <c r="D21" s="4" t="s">
        <v>455</v>
      </c>
      <c r="E21" s="4" t="s">
        <v>454</v>
      </c>
      <c r="F21" s="4" cm="1">
        <f t="array" ref="F21">_xlfn.SWITCH(data[[#This Row],[diffusion_type]],"lognormal",0.0001,"normal",-0.01)*IF(data[[#This Row],[asset_class]]="Vol",1,1)</f>
        <v>1E-4</v>
      </c>
      <c r="G21" s="4"/>
      <c r="H21" s="4" t="s">
        <v>712</v>
      </c>
      <c r="I21" s="4" t="s">
        <v>713</v>
      </c>
      <c r="J21" s="4"/>
      <c r="K21" s="4">
        <v>1</v>
      </c>
      <c r="L21" s="4">
        <v>0</v>
      </c>
      <c r="M21" s="4">
        <v>0</v>
      </c>
      <c r="N21" s="4">
        <v>0</v>
      </c>
      <c r="O21" s="4" t="str">
        <f>data[[#This Row],[factor_name]]</f>
        <v>SMH</v>
      </c>
      <c r="P21" s="4" t="str" cm="1">
        <f t="array" ref="P21">_xlfn.IFS(data[[#This Row],[description_override]]&lt;&gt;"",data[[#This Row],[description_override]],data[[#This Row],[Description_GPT]]&lt;&gt;"",data[[#This Row],[Description_GPT]],data[[#This Row],[Underlying]]&lt;&gt;"",data[[#This Row],[Underlying]],TRUE,"-")</f>
        <v>Semiconductors</v>
      </c>
      <c r="Q21" s="4" t="str">
        <f>_xlfn.XLOOKUP(data[[#This Row],[ticker]],yf_desc[ticker],yf_desc[shortName],"-")</f>
        <v>-</v>
      </c>
      <c r="R21" s="4" t="str">
        <f>_xlfn.XLOOKUP(data[[#This Row],[ticker]],yf_desc[ticker],yf_desc[longName],"-")</f>
        <v>-</v>
      </c>
      <c r="S21" s="4" t="str">
        <f>_xlfn.XLOOKUP(data[[#This Row],[ticker]],yf_desc[ticker],yf_desc[longBusinessSummary],"-")</f>
        <v>-</v>
      </c>
      <c r="T21" s="4"/>
    </row>
    <row r="22" spans="1:20" x14ac:dyDescent="0.25">
      <c r="A22" s="4" t="s">
        <v>39</v>
      </c>
      <c r="B22" s="4" t="s">
        <v>40</v>
      </c>
      <c r="C22" s="4" t="s">
        <v>711</v>
      </c>
      <c r="D22" s="4" t="s">
        <v>455</v>
      </c>
      <c r="E22" s="4" t="s">
        <v>454</v>
      </c>
      <c r="F22" s="4" cm="1">
        <f t="array" ref="F22">_xlfn.SWITCH(data[[#This Row],[diffusion_type]],"lognormal",0.0001,"normal",-0.01)*IF(data[[#This Row],[asset_class]]="Vol",1,1)</f>
        <v>1E-4</v>
      </c>
      <c r="G22" s="4"/>
      <c r="H22" s="4" t="s">
        <v>714</v>
      </c>
      <c r="I22" s="4" t="s">
        <v>715</v>
      </c>
      <c r="J22" s="4"/>
      <c r="K22" s="4">
        <v>1</v>
      </c>
      <c r="L22" s="4">
        <v>0</v>
      </c>
      <c r="M22" s="4">
        <v>0</v>
      </c>
      <c r="N22" s="4">
        <v>0</v>
      </c>
      <c r="O22" s="4" t="str">
        <f>data[[#This Row],[factor_name]]</f>
        <v>IGV</v>
      </c>
      <c r="P22" s="4" t="str" cm="1">
        <f t="array" ref="P22">_xlfn.IFS(data[[#This Row],[description_override]]&lt;&gt;"",data[[#This Row],[description_override]],data[[#This Row],[Description_GPT]]&lt;&gt;"",data[[#This Row],[Description_GPT]],data[[#This Row],[Underlying]]&lt;&gt;"",data[[#This Row],[Underlying]],TRUE,"-")</f>
        <v>Software</v>
      </c>
      <c r="Q22" s="4" t="str">
        <f>_xlfn.XLOOKUP(data[[#This Row],[ticker]],yf_desc[ticker],yf_desc[shortName],"-")</f>
        <v>-</v>
      </c>
      <c r="R22" s="4" t="str">
        <f>_xlfn.XLOOKUP(data[[#This Row],[ticker]],yf_desc[ticker],yf_desc[longName],"-")</f>
        <v>-</v>
      </c>
      <c r="S22" s="4" t="str">
        <f>_xlfn.XLOOKUP(data[[#This Row],[ticker]],yf_desc[ticker],yf_desc[longBusinessSummary],"-")</f>
        <v>-</v>
      </c>
      <c r="T22" s="4"/>
    </row>
    <row r="23" spans="1:20" x14ac:dyDescent="0.25">
      <c r="A23" s="4" t="s">
        <v>39</v>
      </c>
      <c r="B23" s="4" t="s">
        <v>40</v>
      </c>
      <c r="C23" s="4" t="s">
        <v>403</v>
      </c>
      <c r="D23" s="4" t="s">
        <v>455</v>
      </c>
      <c r="E23" s="4" t="s">
        <v>454</v>
      </c>
      <c r="F23" s="4" cm="1">
        <f t="array" ref="F23">_xlfn.SWITCH(data[[#This Row],[diffusion_type]],"lognormal",0.0001,"normal",-0.01)*IF(data[[#This Row],[asset_class]]="Vol",1,1)</f>
        <v>1E-4</v>
      </c>
      <c r="G23" s="4"/>
      <c r="H23" s="4" t="s">
        <v>508</v>
      </c>
      <c r="I23" s="4" t="s">
        <v>404</v>
      </c>
      <c r="J23" s="4"/>
      <c r="K23" s="4">
        <v>1</v>
      </c>
      <c r="L23" s="4">
        <v>0</v>
      </c>
      <c r="M23" s="4">
        <v>0</v>
      </c>
      <c r="N23" s="4">
        <v>0</v>
      </c>
      <c r="O23" s="4" t="str">
        <f>data[[#This Row],[factor_name]]</f>
        <v>AIQ</v>
      </c>
      <c r="P23" s="4" t="str" cm="1">
        <f t="array" ref="P23">_xlfn.IFS(data[[#This Row],[description_override]]&lt;&gt;"",data[[#This Row],[description_override]],data[[#This Row],[Description_GPT]]&lt;&gt;"",data[[#This Row],[Description_GPT]],data[[#This Row],[Underlying]]&lt;&gt;"",data[[#This Row],[Underlying]],TRUE,"-")</f>
        <v>Artificial Intelligence</v>
      </c>
      <c r="Q23" s="4" t="str">
        <f>_xlfn.XLOOKUP(data[[#This Row],[ticker]],yf_desc[ticker],yf_desc[shortName],"-")</f>
        <v>Global X Artificial Intelligenc</v>
      </c>
      <c r="R23" s="4" t="str">
        <f>_xlfn.XLOOKUP(data[[#This Row],[ticker]],yf_desc[ticker],yf_desc[longName],"-")</f>
        <v>Global X Artificial Intelligence &amp; Technology ETF</v>
      </c>
      <c r="S23" s="4" t="str">
        <f>_xlfn.XLOOKUP(data[[#This Row],[ticker]],yf_desc[ticker],yf_desc[longBusinessSummary],"-")</f>
        <v>The fund invests at least 80% of its total assets in the securities of the underlying index. The underlying index is designed to track the performance of companies involved in the development and utilization of artificial intelligence ("AI") and big data. The fund is non-diversified.</v>
      </c>
      <c r="T23" s="4"/>
    </row>
    <row r="24" spans="1:20" x14ac:dyDescent="0.25">
      <c r="A24" s="4" t="s">
        <v>39</v>
      </c>
      <c r="B24" s="4" t="s">
        <v>40</v>
      </c>
      <c r="C24" s="4" t="s">
        <v>431</v>
      </c>
      <c r="D24" s="4" t="s">
        <v>455</v>
      </c>
      <c r="E24" s="4" t="s">
        <v>454</v>
      </c>
      <c r="F24" s="4" cm="1">
        <f t="array" ref="F24">_xlfn.SWITCH(data[[#This Row],[diffusion_type]],"lognormal",0.0001,"normal",-0.01)*IF(data[[#This Row],[asset_class]]="Vol",1,1)</f>
        <v>1E-4</v>
      </c>
      <c r="G24" s="4"/>
      <c r="H24" s="4" t="s">
        <v>442</v>
      </c>
      <c r="I24" s="4"/>
      <c r="J24" s="4"/>
      <c r="K24" s="4">
        <v>1</v>
      </c>
      <c r="L24" s="4">
        <v>0</v>
      </c>
      <c r="M24" s="4">
        <v>0</v>
      </c>
      <c r="N24" s="4">
        <v>0</v>
      </c>
      <c r="O24" s="4" t="str">
        <f>data[[#This Row],[factor_name]]</f>
        <v>ICLN</v>
      </c>
      <c r="P24" s="4" t="str" cm="1">
        <f t="array" ref="P24">_xlfn.IFS(data[[#This Row],[description_override]]&lt;&gt;"",data[[#This Row],[description_override]],data[[#This Row],[Description_GPT]]&lt;&gt;"",data[[#This Row],[Description_GPT]],data[[#This Row],[Underlying]]&lt;&gt;"",data[[#This Row],[Underlying]],TRUE,"-")</f>
        <v>Clean Energy</v>
      </c>
      <c r="Q24" s="4" t="str">
        <f>_xlfn.XLOOKUP(data[[#This Row],[ticker]],yf_desc[ticker],yf_desc[shortName],"-")</f>
        <v>iShares Global Clean Energy ETF</v>
      </c>
      <c r="R24" s="4" t="str">
        <f>_xlfn.XLOOKUP(data[[#This Row],[ticker]],yf_desc[ticker],yf_desc[longName],"-")</f>
        <v>iShares Global Clean Energy ETF</v>
      </c>
      <c r="S24" s="4" t="str">
        <f>_xlfn.XLOOKUP(data[[#This Row],[ticker]],yf_desc[ticker],yf_desc[longBusinessSummary],"-")</f>
        <v>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v>
      </c>
      <c r="T24" s="4"/>
    </row>
    <row r="25" spans="1:20" x14ac:dyDescent="0.25">
      <c r="A25" s="4" t="s">
        <v>39</v>
      </c>
      <c r="B25" s="4" t="s">
        <v>40</v>
      </c>
      <c r="C25" s="4" t="s">
        <v>716</v>
      </c>
      <c r="D25" s="4" t="s">
        <v>455</v>
      </c>
      <c r="E25" s="4" t="s">
        <v>454</v>
      </c>
      <c r="F25" s="4" cm="1">
        <f t="array" ref="F25">_xlfn.SWITCH(data[[#This Row],[diffusion_type]],"lognormal",0.0001,"normal",-0.01)*IF(data[[#This Row],[asset_class]]="Vol",1,1)</f>
        <v>1E-4</v>
      </c>
      <c r="G25" s="4"/>
      <c r="H25" s="4" t="s">
        <v>718</v>
      </c>
      <c r="I25" s="4" t="s">
        <v>719</v>
      </c>
      <c r="J25" s="4"/>
      <c r="K25" s="4">
        <v>1</v>
      </c>
      <c r="L25" s="4">
        <v>0</v>
      </c>
      <c r="M25" s="4">
        <v>0</v>
      </c>
      <c r="N25" s="4">
        <v>0</v>
      </c>
      <c r="O25" s="4" t="str">
        <f>data[[#This Row],[factor_name]]</f>
        <v>BIZD</v>
      </c>
      <c r="P25" s="4" t="str" cm="1">
        <f t="array" ref="P25">_xlfn.IFS(data[[#This Row],[description_override]]&lt;&gt;"",data[[#This Row],[description_override]],data[[#This Row],[Description_GPT]]&lt;&gt;"",data[[#This Row],[Description_GPT]],data[[#This Row],[Underlying]]&lt;&gt;"",data[[#This Row],[Underlying]],TRUE,"-")</f>
        <v>Private Debt</v>
      </c>
      <c r="Q25" s="4" t="str">
        <f>_xlfn.XLOOKUP(data[[#This Row],[ticker]],yf_desc[ticker],yf_desc[shortName],"-")</f>
        <v>-</v>
      </c>
      <c r="R25" s="4" t="str">
        <f>_xlfn.XLOOKUP(data[[#This Row],[ticker]],yf_desc[ticker],yf_desc[longName],"-")</f>
        <v>-</v>
      </c>
      <c r="S25" s="4" t="str">
        <f>_xlfn.XLOOKUP(data[[#This Row],[ticker]],yf_desc[ticker],yf_desc[longBusinessSummary],"-")</f>
        <v>-</v>
      </c>
      <c r="T25" s="4"/>
    </row>
    <row r="26" spans="1:20" x14ac:dyDescent="0.25">
      <c r="A26" s="4" t="s">
        <v>39</v>
      </c>
      <c r="B26" s="4" t="s">
        <v>40</v>
      </c>
      <c r="C26" s="4" t="s">
        <v>717</v>
      </c>
      <c r="D26" s="4" t="s">
        <v>455</v>
      </c>
      <c r="E26" s="4" t="s">
        <v>454</v>
      </c>
      <c r="F26" s="4" cm="1">
        <f t="array" ref="F26">_xlfn.SWITCH(data[[#This Row],[diffusion_type]],"lognormal",0.0001,"normal",-0.01)*IF(data[[#This Row],[asset_class]]="Vol",1,1)</f>
        <v>1E-4</v>
      </c>
      <c r="G26" s="4"/>
      <c r="H26" s="4" t="s">
        <v>721</v>
      </c>
      <c r="I26" s="4" t="s">
        <v>720</v>
      </c>
      <c r="J26" s="4"/>
      <c r="K26" s="4">
        <v>0</v>
      </c>
      <c r="L26" s="4">
        <v>0</v>
      </c>
      <c r="M26" s="4">
        <v>0</v>
      </c>
      <c r="N26" s="4">
        <v>0</v>
      </c>
      <c r="O26" s="4" t="str">
        <f>data[[#This Row],[factor_name]]</f>
        <v>GPZ</v>
      </c>
      <c r="P26" s="4" t="str" cm="1">
        <f t="array" ref="P26">_xlfn.IFS(data[[#This Row],[description_override]]&lt;&gt;"",data[[#This Row],[description_override]],data[[#This Row],[Description_GPT]]&lt;&gt;"",data[[#This Row],[Description_GPT]],data[[#This Row],[Underlying]]&lt;&gt;"",data[[#This Row],[Underlying]],TRUE,"-")</f>
        <v>Private Alts</v>
      </c>
      <c r="Q26" s="4" t="str">
        <f>_xlfn.XLOOKUP(data[[#This Row],[ticker]],yf_desc[ticker],yf_desc[shortName],"-")</f>
        <v>-</v>
      </c>
      <c r="R26" s="4" t="str">
        <f>_xlfn.XLOOKUP(data[[#This Row],[ticker]],yf_desc[ticker],yf_desc[longName],"-")</f>
        <v>-</v>
      </c>
      <c r="S26" s="4" t="str">
        <f>_xlfn.XLOOKUP(data[[#This Row],[ticker]],yf_desc[ticker],yf_desc[longBusinessSummary],"-")</f>
        <v>-</v>
      </c>
      <c r="T26" s="4"/>
    </row>
    <row r="27" spans="1:20" x14ac:dyDescent="0.25">
      <c r="A27" s="4" t="s">
        <v>39</v>
      </c>
      <c r="B27" s="4" t="s">
        <v>40</v>
      </c>
      <c r="C27" s="4" t="s">
        <v>724</v>
      </c>
      <c r="D27" s="4" t="s">
        <v>455</v>
      </c>
      <c r="E27" s="4" t="s">
        <v>454</v>
      </c>
      <c r="F27" s="4" cm="1">
        <f t="array" ref="F27">_xlfn.SWITCH(data[[#This Row],[diffusion_type]],"lognormal",0.0001,"normal",-0.01)*IF(data[[#This Row],[asset_class]]="Vol",1,1)</f>
        <v>1E-4</v>
      </c>
      <c r="G27" s="4"/>
      <c r="H27" s="4" t="s">
        <v>726</v>
      </c>
      <c r="I27" s="4" t="s">
        <v>725</v>
      </c>
      <c r="J27" s="4"/>
      <c r="K27" s="4">
        <v>1</v>
      </c>
      <c r="L27" s="4">
        <v>0</v>
      </c>
      <c r="M27" s="4">
        <v>0</v>
      </c>
      <c r="N27" s="4"/>
      <c r="O27" s="4" t="str">
        <f>data[[#This Row],[factor_name]]</f>
        <v>PSP</v>
      </c>
      <c r="P27" s="4" t="str" cm="1">
        <f t="array" ref="P27">_xlfn.IFS(data[[#This Row],[description_override]]&lt;&gt;"",data[[#This Row],[description_override]],data[[#This Row],[Description_GPT]]&lt;&gt;"",data[[#This Row],[Description_GPT]],data[[#This Row],[Underlying]]&lt;&gt;"",data[[#This Row],[Underlying]],TRUE,"-")</f>
        <v>Private Equity</v>
      </c>
      <c r="Q27" s="4" t="str">
        <f>_xlfn.XLOOKUP(data[[#This Row],[ticker]],yf_desc[ticker],yf_desc[shortName],"-")</f>
        <v>-</v>
      </c>
      <c r="R27" s="4" t="str">
        <f>_xlfn.XLOOKUP(data[[#This Row],[ticker]],yf_desc[ticker],yf_desc[longName],"-")</f>
        <v>-</v>
      </c>
      <c r="S27" s="4" t="str">
        <f>_xlfn.XLOOKUP(data[[#This Row],[ticker]],yf_desc[ticker],yf_desc[longBusinessSummary],"-")</f>
        <v>-</v>
      </c>
      <c r="T27" s="4"/>
    </row>
    <row r="28" spans="1:20" x14ac:dyDescent="0.25">
      <c r="A28" s="4" t="s">
        <v>39</v>
      </c>
      <c r="B28" s="4" t="s">
        <v>40</v>
      </c>
      <c r="C28" s="4" t="s">
        <v>367</v>
      </c>
      <c r="D28" s="4" t="s">
        <v>455</v>
      </c>
      <c r="E28" s="4" t="s">
        <v>454</v>
      </c>
      <c r="F28" s="4" cm="1">
        <f t="array" ref="F28">_xlfn.SWITCH(data[[#This Row],[diffusion_type]],"lognormal",0.0001,"normal",-0.01)*IF(data[[#This Row],[asset_class]]="Vol",1,1)</f>
        <v>1E-4</v>
      </c>
      <c r="G28" s="4"/>
      <c r="H28" s="4" t="s">
        <v>423</v>
      </c>
      <c r="I28" s="4" t="s">
        <v>368</v>
      </c>
      <c r="J28" s="4"/>
      <c r="K28" s="4">
        <v>1</v>
      </c>
      <c r="L28" s="4">
        <v>0</v>
      </c>
      <c r="M28" s="4">
        <v>0</v>
      </c>
      <c r="N28" s="4">
        <v>0</v>
      </c>
      <c r="O28" s="4" t="str">
        <f>data[[#This Row],[factor_name]]</f>
        <v>PFF</v>
      </c>
      <c r="P28" s="4" t="str" cm="1">
        <f t="array" ref="P28">_xlfn.IFS(data[[#This Row],[description_override]]&lt;&gt;"",data[[#This Row],[description_override]],data[[#This Row],[Description_GPT]]&lt;&gt;"",data[[#This Row],[Description_GPT]],data[[#This Row],[Underlying]]&lt;&gt;"",data[[#This Row],[Underlying]],TRUE,"-")</f>
        <v>Preferred</v>
      </c>
      <c r="Q28" s="4" t="str">
        <f>_xlfn.XLOOKUP(data[[#This Row],[ticker]],yf_desc[ticker],yf_desc[shortName],"-")</f>
        <v>iShares Preferred and Income Se</v>
      </c>
      <c r="R28" s="4" t="str">
        <f>_xlfn.XLOOKUP(data[[#This Row],[ticker]],yf_desc[ticker],yf_desc[longName],"-")</f>
        <v>iShares Preferred and Income Securities ETF</v>
      </c>
      <c r="S28" s="4" t="str">
        <f>_xlfn.XLOOKUP(data[[#This Row],[ticker]],yf_desc[ticker],yf_desc[longBusinessSummary],"-")</f>
        <v>The fund may invest at least 80% of its assets in the component securities of its underlying index and and may invest up to 20% of its assets in certain futures, options and swap contracts, cash and cash equivalents.</v>
      </c>
      <c r="T28" s="4"/>
    </row>
    <row r="29" spans="1:20" x14ac:dyDescent="0.25">
      <c r="A29" s="4" t="s">
        <v>39</v>
      </c>
      <c r="B29" s="4" t="s">
        <v>40</v>
      </c>
      <c r="C29" s="4" t="s">
        <v>730</v>
      </c>
      <c r="D29" s="4" t="s">
        <v>455</v>
      </c>
      <c r="E29" s="4" t="s">
        <v>454</v>
      </c>
      <c r="F29" s="4" cm="1">
        <f t="array" ref="F29">_xlfn.SWITCH(data[[#This Row],[diffusion_type]],"lognormal",0.0001,"normal",-0.01)*IF(data[[#This Row],[asset_class]]="Vol",1,1)</f>
        <v>1E-4</v>
      </c>
      <c r="G29" s="4"/>
      <c r="H29" s="4" t="s">
        <v>732</v>
      </c>
      <c r="I29" s="4" t="s">
        <v>733</v>
      </c>
      <c r="J29" s="4"/>
      <c r="K29" s="4"/>
      <c r="L29" s="4"/>
      <c r="M29" s="4"/>
      <c r="N29" s="4"/>
      <c r="O29" s="4" t="str">
        <f>data[[#This Row],[factor_name]]</f>
        <v>IWN</v>
      </c>
      <c r="P29" s="4" t="str" cm="1">
        <f t="array" ref="P29">_xlfn.IFS(data[[#This Row],[description_override]]&lt;&gt;"",data[[#This Row],[description_override]],data[[#This Row],[Description_GPT]]&lt;&gt;"",data[[#This Row],[Description_GPT]],data[[#This Row],[Underlying]]&lt;&gt;"",data[[#This Row],[Underlying]],TRUE,"-")</f>
        <v>Value</v>
      </c>
      <c r="Q29" s="4" t="str">
        <f>_xlfn.XLOOKUP(data[[#This Row],[ticker]],yf_desc[ticker],yf_desc[shortName],"-")</f>
        <v>-</v>
      </c>
      <c r="R29" s="4" t="str">
        <f>_xlfn.XLOOKUP(data[[#This Row],[ticker]],yf_desc[ticker],yf_desc[longName],"-")</f>
        <v>-</v>
      </c>
      <c r="S29" s="4" t="str">
        <f>_xlfn.XLOOKUP(data[[#This Row],[ticker]],yf_desc[ticker],yf_desc[longBusinessSummary],"-")</f>
        <v>-</v>
      </c>
      <c r="T29" s="4"/>
    </row>
    <row r="30" spans="1:20" x14ac:dyDescent="0.25">
      <c r="A30" s="4" t="s">
        <v>39</v>
      </c>
      <c r="B30" s="4" t="s">
        <v>40</v>
      </c>
      <c r="C30" s="4" t="s">
        <v>729</v>
      </c>
      <c r="D30" s="4" t="s">
        <v>455</v>
      </c>
      <c r="E30" s="4" t="s">
        <v>454</v>
      </c>
      <c r="F30" s="4" cm="1">
        <f t="array" ref="F30">_xlfn.SWITCH(data[[#This Row],[diffusion_type]],"lognormal",0.0001,"normal",-0.01)*IF(data[[#This Row],[asset_class]]="Vol",1,1)</f>
        <v>1E-4</v>
      </c>
      <c r="G30" s="4"/>
      <c r="H30" s="4" t="s">
        <v>735</v>
      </c>
      <c r="I30" s="4" t="s">
        <v>734</v>
      </c>
      <c r="J30" s="4"/>
      <c r="K30" s="4"/>
      <c r="L30" s="4"/>
      <c r="M30" s="4"/>
      <c r="N30" s="4"/>
      <c r="O30" s="4" t="str">
        <f>data[[#This Row],[factor_name]]</f>
        <v>IWO</v>
      </c>
      <c r="P30" s="4" t="str" cm="1">
        <f t="array" ref="P30">_xlfn.IFS(data[[#This Row],[description_override]]&lt;&gt;"",data[[#This Row],[description_override]],data[[#This Row],[Description_GPT]]&lt;&gt;"",data[[#This Row],[Description_GPT]],data[[#This Row],[Underlying]]&lt;&gt;"",data[[#This Row],[Underlying]],TRUE,"-")</f>
        <v>Growth</v>
      </c>
      <c r="Q30" s="4" t="str">
        <f>_xlfn.XLOOKUP(data[[#This Row],[ticker]],yf_desc[ticker],yf_desc[shortName],"-")</f>
        <v>-</v>
      </c>
      <c r="R30" s="4" t="str">
        <f>_xlfn.XLOOKUP(data[[#This Row],[ticker]],yf_desc[ticker],yf_desc[longName],"-")</f>
        <v>-</v>
      </c>
      <c r="S30" s="4" t="str">
        <f>_xlfn.XLOOKUP(data[[#This Row],[ticker]],yf_desc[ticker],yf_desc[longBusinessSummary],"-")</f>
        <v>-</v>
      </c>
      <c r="T30" s="4"/>
    </row>
    <row r="31" spans="1:20" x14ac:dyDescent="0.25">
      <c r="A31" s="4" t="s">
        <v>39</v>
      </c>
      <c r="B31" s="4" t="s">
        <v>40</v>
      </c>
      <c r="C31" s="4" t="s">
        <v>731</v>
      </c>
      <c r="D31" s="4" t="s">
        <v>455</v>
      </c>
      <c r="E31" s="4" t="s">
        <v>454</v>
      </c>
      <c r="F31" s="4" cm="1">
        <f t="array" ref="F31">_xlfn.SWITCH(data[[#This Row],[diffusion_type]],"lognormal",0.0001,"normal",-0.01)*IF(data[[#This Row],[asset_class]]="Vol",1,1)</f>
        <v>1E-4</v>
      </c>
      <c r="G31" s="4"/>
      <c r="H31" s="4" t="s">
        <v>737</v>
      </c>
      <c r="I31" s="4" t="s">
        <v>736</v>
      </c>
      <c r="J31" s="4"/>
      <c r="K31" s="4"/>
      <c r="L31" s="4"/>
      <c r="M31" s="4"/>
      <c r="N31" s="4"/>
      <c r="O31" s="4" t="str">
        <f>data[[#This Row],[factor_name]]</f>
        <v>MTUM</v>
      </c>
      <c r="P31" s="4" t="str" cm="1">
        <f t="array" ref="P31">_xlfn.IFS(data[[#This Row],[description_override]]&lt;&gt;"",data[[#This Row],[description_override]],data[[#This Row],[Description_GPT]]&lt;&gt;"",data[[#This Row],[Description_GPT]],data[[#This Row],[Underlying]]&lt;&gt;"",data[[#This Row],[Underlying]],TRUE,"-")</f>
        <v>Momentum</v>
      </c>
      <c r="Q31" s="4" t="str">
        <f>_xlfn.XLOOKUP(data[[#This Row],[ticker]],yf_desc[ticker],yf_desc[shortName],"-")</f>
        <v>-</v>
      </c>
      <c r="R31" s="4" t="str">
        <f>_xlfn.XLOOKUP(data[[#This Row],[ticker]],yf_desc[ticker],yf_desc[longName],"-")</f>
        <v>-</v>
      </c>
      <c r="S31" s="4" t="str">
        <f>_xlfn.XLOOKUP(data[[#This Row],[ticker]],yf_desc[ticker],yf_desc[longBusinessSummary],"-")</f>
        <v>-</v>
      </c>
      <c r="T31" s="4"/>
    </row>
    <row r="32" spans="1:20" x14ac:dyDescent="0.25">
      <c r="A32" s="4" t="s">
        <v>39</v>
      </c>
      <c r="B32" s="4" t="s">
        <v>40</v>
      </c>
      <c r="C32" s="4" t="s">
        <v>13</v>
      </c>
      <c r="D32" s="4" t="s">
        <v>455</v>
      </c>
      <c r="E32" s="4" t="s">
        <v>454</v>
      </c>
      <c r="F32" s="4" cm="1">
        <f t="array" ref="F32">_xlfn.SWITCH(data[[#This Row],[diffusion_type]],"lognormal",0.0001,"normal",-0.01)*IF(data[[#This Row],[asset_class]]="Vol",1,1)</f>
        <v>1E-4</v>
      </c>
      <c r="G32" s="4" t="s">
        <v>8</v>
      </c>
      <c r="H32" s="4" t="s">
        <v>150</v>
      </c>
      <c r="I32" s="4" t="s">
        <v>149</v>
      </c>
      <c r="J32" s="4" t="s">
        <v>30</v>
      </c>
      <c r="K32" s="4">
        <v>1</v>
      </c>
      <c r="L32" s="4">
        <v>0</v>
      </c>
      <c r="M32" s="4">
        <v>0</v>
      </c>
      <c r="N32" s="4">
        <v>0</v>
      </c>
      <c r="O32" s="4" t="str">
        <f>data[[#This Row],[factor_name]]</f>
        <v>FEZ</v>
      </c>
      <c r="P32" s="4" t="str" cm="1">
        <f t="array" ref="P32">_xlfn.IFS(data[[#This Row],[description_override]]&lt;&gt;"",data[[#This Row],[description_override]],data[[#This Row],[Description_GPT]]&lt;&gt;"",data[[#This Row],[Description_GPT]],data[[#This Row],[Underlying]]&lt;&gt;"",data[[#This Row],[Underlying]],TRUE,"-")</f>
        <v>Eurostoxx 50</v>
      </c>
      <c r="Q32" s="4" t="str">
        <f>_xlfn.XLOOKUP(data[[#This Row],[ticker]],yf_desc[ticker],yf_desc[shortName],"-")</f>
        <v>SPDR DJ Euro STOXX 50 Etf</v>
      </c>
      <c r="R32" s="4" t="str">
        <f>_xlfn.XLOOKUP(data[[#This Row],[ticker]],yf_desc[ticker],yf_desc[longName],"-")</f>
        <v>SPDR EURO STOXX 50 ETF</v>
      </c>
      <c r="S32" s="4" t="str">
        <f>_xlfn.XLOOKUP(data[[#This Row],[ticker]],yf_desc[ticker],yf_desc[longBusinessSummary],"-")</f>
        <v>The fund employs a sampling strategy, which means that the fund is not required to purchase all of the securities represented in the index. It generally invests substantially all, but at least 80%, of its total assets in the securities comprising the index. The index is a market capitalization weighted index designed to represent the performance of some of the largest companies across components of the 20 EURO STOXX Supersector Indexes. The EURO STOXX Supersector Indexes are subsets of the EURO STOXX Index.</v>
      </c>
      <c r="T32" s="4"/>
    </row>
    <row r="33" spans="1:20" x14ac:dyDescent="0.25">
      <c r="A33" s="4" t="s">
        <v>39</v>
      </c>
      <c r="B33" s="4" t="s">
        <v>68</v>
      </c>
      <c r="C33" s="4" t="s">
        <v>156</v>
      </c>
      <c r="D33" s="4" t="s">
        <v>455</v>
      </c>
      <c r="E33" s="4" t="s">
        <v>454</v>
      </c>
      <c r="F33" s="4" cm="1">
        <f t="array" ref="F33">_xlfn.SWITCH(data[[#This Row],[diffusion_type]],"lognormal",0.0001,"normal",-0.01)*IF(data[[#This Row],[asset_class]]="Vol",1,1)</f>
        <v>1E-4</v>
      </c>
      <c r="G33" s="4" t="s">
        <v>156</v>
      </c>
      <c r="H33" s="4" t="s">
        <v>155</v>
      </c>
      <c r="I33" s="4"/>
      <c r="J33" s="4"/>
      <c r="K33" s="4">
        <v>0</v>
      </c>
      <c r="L33" s="4">
        <v>0</v>
      </c>
      <c r="M33" s="4">
        <v>0</v>
      </c>
      <c r="N33" s="4">
        <v>0</v>
      </c>
      <c r="O33" s="4" t="str">
        <f>data[[#This Row],[factor_name]]</f>
        <v>SX7E</v>
      </c>
      <c r="P33" s="4" t="str" cm="1">
        <f t="array" ref="P33">_xlfn.IFS(data[[#This Row],[description_override]]&lt;&gt;"",data[[#This Row],[description_override]],data[[#This Row],[Description_GPT]]&lt;&gt;"",data[[#This Row],[Description_GPT]],data[[#This Row],[Underlying]]&lt;&gt;"",data[[#This Row],[Underlying]],TRUE,"-")</f>
        <v>Eurostoxx Banks</v>
      </c>
      <c r="Q33" s="4" t="str">
        <f>_xlfn.XLOOKUP(data[[#This Row],[ticker]],yf_desc[ticker],yf_desc[shortName],"-")</f>
        <v>-</v>
      </c>
      <c r="R33" s="4" t="str">
        <f>_xlfn.XLOOKUP(data[[#This Row],[ticker]],yf_desc[ticker],yf_desc[longName],"-")</f>
        <v>-</v>
      </c>
      <c r="S33" s="4" t="str">
        <f>_xlfn.XLOOKUP(data[[#This Row],[ticker]],yf_desc[ticker],yf_desc[longBusinessSummary],"-")</f>
        <v>-</v>
      </c>
      <c r="T33" s="4"/>
    </row>
    <row r="34" spans="1:20" x14ac:dyDescent="0.25">
      <c r="A34" s="4" t="s">
        <v>39</v>
      </c>
      <c r="B34" s="4" t="s">
        <v>220</v>
      </c>
      <c r="C34" s="4" t="s">
        <v>86</v>
      </c>
      <c r="D34" s="4" t="s">
        <v>455</v>
      </c>
      <c r="E34" s="4" t="s">
        <v>454</v>
      </c>
      <c r="F34" s="4" cm="1">
        <f t="array" ref="F34">_xlfn.SWITCH(data[[#This Row],[diffusion_type]],"lognormal",0.0001,"normal",-0.01)*IF(data[[#This Row],[asset_class]]="Vol",1,1)</f>
        <v>1E-4</v>
      </c>
      <c r="G34" s="4"/>
      <c r="H34" s="4" t="s">
        <v>509</v>
      </c>
      <c r="I34" s="4" t="s">
        <v>87</v>
      </c>
      <c r="J34" s="4" t="s">
        <v>119</v>
      </c>
      <c r="K34" s="4">
        <v>1</v>
      </c>
      <c r="L34" s="4">
        <v>0</v>
      </c>
      <c r="M34" s="4">
        <v>0</v>
      </c>
      <c r="N34" s="4">
        <v>0</v>
      </c>
      <c r="O34" s="4" t="str">
        <f>data[[#This Row],[factor_name]]</f>
        <v>EWU</v>
      </c>
      <c r="P34" s="4" t="str" cm="1">
        <f t="array" ref="P34">_xlfn.IFS(data[[#This Row],[description_override]]&lt;&gt;"",data[[#This Row],[description_override]],data[[#This Row],[Description_GPT]]&lt;&gt;"",data[[#This Row],[Description_GPT]],data[[#This Row],[Underlying]]&lt;&gt;"",data[[#This Row],[Underlying]],TRUE,"-")</f>
        <v>FTSE 100</v>
      </c>
      <c r="Q34" s="4" t="str">
        <f>_xlfn.XLOOKUP(data[[#This Row],[ticker]],yf_desc[ticker],yf_desc[shortName],"-")</f>
        <v>iShares MSCI</v>
      </c>
      <c r="R34" s="4" t="str">
        <f>_xlfn.XLOOKUP(data[[#This Row],[ticker]],yf_desc[ticker],yf_desc[longName],"-")</f>
        <v>iShares MSCI United Kingdom ETF</v>
      </c>
      <c r="S34"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UK market. The fund is non-diversified.</v>
      </c>
      <c r="T34" s="4"/>
    </row>
    <row r="35" spans="1:20" x14ac:dyDescent="0.25">
      <c r="A35" s="4" t="s">
        <v>39</v>
      </c>
      <c r="B35" s="4" t="s">
        <v>68</v>
      </c>
      <c r="C35" s="4" t="s">
        <v>84</v>
      </c>
      <c r="D35" s="4" t="s">
        <v>455</v>
      </c>
      <c r="E35" s="4" t="s">
        <v>454</v>
      </c>
      <c r="F35" s="4" cm="1">
        <f t="array" ref="F35">_xlfn.SWITCH(data[[#This Row],[diffusion_type]],"lognormal",0.0001,"normal",-0.01)*IF(data[[#This Row],[asset_class]]="Vol",1,1)</f>
        <v>1E-4</v>
      </c>
      <c r="G35" s="4" t="s">
        <v>84</v>
      </c>
      <c r="H35" s="4" t="s">
        <v>157</v>
      </c>
      <c r="I35" s="4" t="s">
        <v>85</v>
      </c>
      <c r="J35" s="4" t="s">
        <v>118</v>
      </c>
      <c r="K35" s="4">
        <v>1</v>
      </c>
      <c r="L35" s="4">
        <v>0</v>
      </c>
      <c r="M35" s="4">
        <v>0</v>
      </c>
      <c r="N35" s="4">
        <v>0</v>
      </c>
      <c r="O35" s="4" t="str">
        <f>data[[#This Row],[factor_name]]</f>
        <v>DAX</v>
      </c>
      <c r="P35" s="4" t="str" cm="1">
        <f t="array" ref="P35">_xlfn.IFS(data[[#This Row],[description_override]]&lt;&gt;"",data[[#This Row],[description_override]],data[[#This Row],[Description_GPT]]&lt;&gt;"",data[[#This Row],[Description_GPT]],data[[#This Row],[Underlying]]&lt;&gt;"",data[[#This Row],[Underlying]],TRUE,"-")</f>
        <v>DAX (Germany)</v>
      </c>
      <c r="Q35" s="4" t="str">
        <f>_xlfn.XLOOKUP(data[[#This Row],[ticker]],yf_desc[ticker],yf_desc[shortName],"-")</f>
        <v>Global X DAX Germany ETF</v>
      </c>
      <c r="R35" s="4" t="str">
        <f>_xlfn.XLOOKUP(data[[#This Row],[ticker]],yf_desc[ticker],yf_desc[longName],"-")</f>
        <v>Global X DAX Germany ETF</v>
      </c>
      <c r="S35" s="4" t="str">
        <f>_xlfn.XLOOKUP(data[[#This Row],[ticker]],yf_desc[ticker],yf_desc[longBusinessSummary],"-")</f>
        <v>The fund invests at least 80% of its total assets in the securities of the underlying index and in American Depositary Receipts ("ADRs") and Global Depositary Receipts ("GDRs") based on the securities in the underlying index. The index tracks the segment of the largest and most actively traded companies - known as blue chips - on the German equities market. The fund is non-diversified.</v>
      </c>
      <c r="T35" s="4"/>
    </row>
    <row r="36" spans="1:20" x14ac:dyDescent="0.25">
      <c r="A36" s="4" t="s">
        <v>39</v>
      </c>
      <c r="B36" s="4" t="s">
        <v>88</v>
      </c>
      <c r="C36" s="4" t="s">
        <v>89</v>
      </c>
      <c r="D36" s="4" t="s">
        <v>455</v>
      </c>
      <c r="E36" s="4" t="s">
        <v>454</v>
      </c>
      <c r="F36" s="4" cm="1">
        <f t="array" ref="F36">_xlfn.SWITCH(data[[#This Row],[diffusion_type]],"lognormal",0.0001,"normal",-0.01)*IF(data[[#This Row],[asset_class]]="Vol",1,1)</f>
        <v>1E-4</v>
      </c>
      <c r="G36" s="4"/>
      <c r="H36" s="4" t="s">
        <v>510</v>
      </c>
      <c r="I36" s="4" t="s">
        <v>90</v>
      </c>
      <c r="J36" s="4" t="s">
        <v>120</v>
      </c>
      <c r="K36" s="4">
        <v>1</v>
      </c>
      <c r="L36" s="4">
        <v>0</v>
      </c>
      <c r="M36" s="4">
        <v>0</v>
      </c>
      <c r="N36" s="4">
        <v>0</v>
      </c>
      <c r="O36" s="4" t="str">
        <f>data[[#This Row],[factor_name]]</f>
        <v>EWC</v>
      </c>
      <c r="P36" s="4" t="str" cm="1">
        <f t="array" ref="P36">_xlfn.IFS(data[[#This Row],[description_override]]&lt;&gt;"",data[[#This Row],[description_override]],data[[#This Row],[Description_GPT]]&lt;&gt;"",data[[#This Row],[Description_GPT]],data[[#This Row],[Underlying]]&lt;&gt;"",data[[#This Row],[Underlying]],TRUE,"-")</f>
        <v>MSCI Canada</v>
      </c>
      <c r="Q36" s="4" t="str">
        <f>_xlfn.XLOOKUP(data[[#This Row],[ticker]],yf_desc[ticker],yf_desc[shortName],"-")</f>
        <v>iShares MSCI Canada Index Fund</v>
      </c>
      <c r="R36" s="4" t="str">
        <f>_xlfn.XLOOKUP(data[[#This Row],[ticker]],yf_desc[ticker],yf_desc[longName],"-")</f>
        <v>iShares MSCI Canada ETF</v>
      </c>
      <c r="S36"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broad-based equity performance in Canada. The underlying index includes large- and mid-capitalization companies and may change over time.</v>
      </c>
      <c r="T36" s="4"/>
    </row>
    <row r="37" spans="1:20" x14ac:dyDescent="0.25">
      <c r="A37" s="4" t="s">
        <v>39</v>
      </c>
      <c r="B37" s="4" t="s">
        <v>68</v>
      </c>
      <c r="C37" s="4" t="s">
        <v>327</v>
      </c>
      <c r="D37" s="4" t="s">
        <v>455</v>
      </c>
      <c r="E37" s="4" t="s">
        <v>454</v>
      </c>
      <c r="F37" s="4" cm="1">
        <f t="array" ref="F37">_xlfn.SWITCH(data[[#This Row],[diffusion_type]],"lognormal",0.0001,"normal",-0.01)*IF(data[[#This Row],[asset_class]]="Vol",1,1)</f>
        <v>1E-4</v>
      </c>
      <c r="G37" s="4" t="s">
        <v>328</v>
      </c>
      <c r="H37" s="4" t="s">
        <v>332</v>
      </c>
      <c r="I37" s="4"/>
      <c r="J37" s="4"/>
      <c r="K37" s="4">
        <v>0</v>
      </c>
      <c r="L37" s="4">
        <v>0</v>
      </c>
      <c r="M37" s="4">
        <v>0</v>
      </c>
      <c r="N37" s="4">
        <v>0</v>
      </c>
      <c r="O37" s="4" t="str">
        <f>data[[#This Row],[factor_name]]</f>
        <v>FTSEMIB.MI</v>
      </c>
      <c r="P37" s="4" t="str" cm="1">
        <f t="array" ref="P37">_xlfn.IFS(data[[#This Row],[description_override]]&lt;&gt;"",data[[#This Row],[description_override]],data[[#This Row],[Description_GPT]]&lt;&gt;"",data[[#This Row],[Description_GPT]],data[[#This Row],[Underlying]]&lt;&gt;"",data[[#This Row],[Underlying]],TRUE,"-")</f>
        <v>FTSE MIB (Italy)</v>
      </c>
      <c r="Q37" s="4" t="str">
        <f>_xlfn.XLOOKUP(data[[#This Row],[ticker]],yf_desc[ticker],yf_desc[shortName],"-")</f>
        <v>FTSE MIB Index</v>
      </c>
      <c r="R37" s="4" t="str">
        <f>_xlfn.XLOOKUP(data[[#This Row],[ticker]],yf_desc[ticker],yf_desc[longName],"-")</f>
        <v>FTSE MIB Index</v>
      </c>
      <c r="S37" s="4">
        <f>_xlfn.XLOOKUP(data[[#This Row],[ticker]],yf_desc[ticker],yf_desc[longBusinessSummary],"-")</f>
        <v>0</v>
      </c>
      <c r="T37" s="4"/>
    </row>
    <row r="38" spans="1:20" x14ac:dyDescent="0.25">
      <c r="A38" s="4" t="s">
        <v>39</v>
      </c>
      <c r="B38" s="4" t="s">
        <v>68</v>
      </c>
      <c r="C38" s="4" t="s">
        <v>95</v>
      </c>
      <c r="D38" s="4" t="s">
        <v>455</v>
      </c>
      <c r="E38" s="4" t="s">
        <v>454</v>
      </c>
      <c r="F38" s="4" cm="1">
        <f t="array" ref="F38">_xlfn.SWITCH(data[[#This Row],[diffusion_type]],"lognormal",0.0001,"normal",-0.01)*IF(data[[#This Row],[asset_class]]="Vol",1,1)</f>
        <v>1E-4</v>
      </c>
      <c r="G38" s="4" t="s">
        <v>95</v>
      </c>
      <c r="H38" s="4" t="s">
        <v>158</v>
      </c>
      <c r="I38" s="4" t="s">
        <v>96</v>
      </c>
      <c r="J38" s="4" t="s">
        <v>123</v>
      </c>
      <c r="K38" s="4">
        <v>0</v>
      </c>
      <c r="L38" s="4">
        <v>0</v>
      </c>
      <c r="M38" s="4">
        <v>0</v>
      </c>
      <c r="N38" s="4">
        <v>0</v>
      </c>
      <c r="O38" s="4" t="str">
        <f>data[[#This Row],[factor_name]]</f>
        <v>CAC</v>
      </c>
      <c r="P38" s="4" t="str" cm="1">
        <f t="array" ref="P38">_xlfn.IFS(data[[#This Row],[description_override]]&lt;&gt;"",data[[#This Row],[description_override]],data[[#This Row],[Description_GPT]]&lt;&gt;"",data[[#This Row],[Description_GPT]],data[[#This Row],[Underlying]]&lt;&gt;"",data[[#This Row],[Underlying]],TRUE,"-")</f>
        <v>CAC 40 (France)</v>
      </c>
      <c r="Q38" s="4" t="str">
        <f>_xlfn.XLOOKUP(data[[#This Row],[ticker]],yf_desc[ticker],yf_desc[shortName],"-")</f>
        <v>Camden National Corporation</v>
      </c>
      <c r="R38" s="4" t="str">
        <f>_xlfn.XLOOKUP(data[[#This Row],[ticker]],yf_desc[ticker],yf_desc[longName],"-")</f>
        <v>Camden National Corporation</v>
      </c>
      <c r="S38" s="4" t="str">
        <f>_xlfn.XLOOKUP(data[[#This Row],[ticker]],yf_desc[ticker],yf_desc[longBusinessSummary],"-")</f>
        <v>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v>
      </c>
      <c r="T38" s="4"/>
    </row>
    <row r="39" spans="1:20" x14ac:dyDescent="0.25">
      <c r="A39" s="4" t="s">
        <v>39</v>
      </c>
      <c r="B39" s="4" t="s">
        <v>68</v>
      </c>
      <c r="C39" s="4" t="s">
        <v>93</v>
      </c>
      <c r="D39" s="4" t="s">
        <v>455</v>
      </c>
      <c r="E39" s="4" t="s">
        <v>454</v>
      </c>
      <c r="F39" s="4" cm="1">
        <f t="array" ref="F39">_xlfn.SWITCH(data[[#This Row],[diffusion_type]],"lognormal",0.0001,"normal",-0.01)*IF(data[[#This Row],[asset_class]]="Vol",1,1)</f>
        <v>1E-4</v>
      </c>
      <c r="G39" s="4"/>
      <c r="H39" s="4" t="s">
        <v>511</v>
      </c>
      <c r="I39" s="4" t="s">
        <v>94</v>
      </c>
      <c r="J39" s="4" t="s">
        <v>122</v>
      </c>
      <c r="K39" s="4">
        <v>1</v>
      </c>
      <c r="L39" s="4">
        <v>0</v>
      </c>
      <c r="M39" s="4">
        <v>0</v>
      </c>
      <c r="N39" s="4">
        <v>0</v>
      </c>
      <c r="O39" s="4" t="str">
        <f>data[[#This Row],[factor_name]]</f>
        <v>EWI</v>
      </c>
      <c r="P39" s="4" t="str" cm="1">
        <f t="array" ref="P39">_xlfn.IFS(data[[#This Row],[description_override]]&lt;&gt;"",data[[#This Row],[description_override]],data[[#This Row],[Description_GPT]]&lt;&gt;"",data[[#This Row],[Description_GPT]],data[[#This Row],[Underlying]]&lt;&gt;"",data[[#This Row],[Underlying]],TRUE,"-")</f>
        <v>MSCI Italy</v>
      </c>
      <c r="Q39" s="4" t="str">
        <f>_xlfn.XLOOKUP(data[[#This Row],[ticker]],yf_desc[ticker],yf_desc[shortName],"-")</f>
        <v xml:space="preserve">iShares Inc iShares MSCI Italy </v>
      </c>
      <c r="R39" s="4" t="str">
        <f>_xlfn.XLOOKUP(data[[#This Row],[ticker]],yf_desc[ticker],yf_desc[longName],"-")</f>
        <v>iShares MSCI Italy ETF</v>
      </c>
      <c r="S39"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and mid-capitalization segments of the equity market in Italy. The fund is non-diversified.</v>
      </c>
      <c r="T39" s="4"/>
    </row>
    <row r="40" spans="1:20" x14ac:dyDescent="0.25">
      <c r="A40" s="4" t="s">
        <v>39</v>
      </c>
      <c r="B40" s="4" t="s">
        <v>68</v>
      </c>
      <c r="C40" s="4" t="s">
        <v>330</v>
      </c>
      <c r="D40" s="4" t="s">
        <v>455</v>
      </c>
      <c r="E40" s="4" t="s">
        <v>454</v>
      </c>
      <c r="F40" s="4" cm="1">
        <f t="array" ref="F40">_xlfn.SWITCH(data[[#This Row],[diffusion_type]],"lognormal",0.0001,"normal",-0.01)*IF(data[[#This Row],[asset_class]]="Vol",1,1)</f>
        <v>1E-4</v>
      </c>
      <c r="G40" s="4" t="s">
        <v>329</v>
      </c>
      <c r="H40" s="4" t="s">
        <v>331</v>
      </c>
      <c r="I40" s="4"/>
      <c r="J40" s="4" t="s">
        <v>121</v>
      </c>
      <c r="K40" s="4">
        <v>0</v>
      </c>
      <c r="L40" s="4">
        <v>0</v>
      </c>
      <c r="M40" s="4">
        <v>0</v>
      </c>
      <c r="N40" s="4">
        <v>0</v>
      </c>
      <c r="O40" s="4" t="str">
        <f>data[[#This Row],[factor_name]]</f>
        <v>^IBEX</v>
      </c>
      <c r="P40" s="4" t="str" cm="1">
        <f t="array" ref="P40">_xlfn.IFS(data[[#This Row],[description_override]]&lt;&gt;"",data[[#This Row],[description_override]],data[[#This Row],[Description_GPT]]&lt;&gt;"",data[[#This Row],[Description_GPT]],data[[#This Row],[Underlying]]&lt;&gt;"",data[[#This Row],[Underlying]],TRUE,"-")</f>
        <v>IBEX 35 (Spain)</v>
      </c>
      <c r="Q40" s="4" t="str">
        <f>_xlfn.XLOOKUP(data[[#This Row],[ticker]],yf_desc[ticker],yf_desc[shortName],"-")</f>
        <v>IBEX 35...</v>
      </c>
      <c r="R40" s="4" t="str">
        <f>_xlfn.XLOOKUP(data[[#This Row],[ticker]],yf_desc[ticker],yf_desc[longName],"-")</f>
        <v>IBEX 35...</v>
      </c>
      <c r="S40" s="4">
        <f>_xlfn.XLOOKUP(data[[#This Row],[ticker]],yf_desc[ticker],yf_desc[longBusinessSummary],"-")</f>
        <v>0</v>
      </c>
      <c r="T40" s="4"/>
    </row>
    <row r="41" spans="1:20" x14ac:dyDescent="0.25">
      <c r="A41" s="4" t="s">
        <v>39</v>
      </c>
      <c r="B41" s="4" t="s">
        <v>68</v>
      </c>
      <c r="C41" s="4" t="s">
        <v>91</v>
      </c>
      <c r="D41" s="4" t="s">
        <v>455</v>
      </c>
      <c r="E41" s="4" t="s">
        <v>454</v>
      </c>
      <c r="F41" s="4" cm="1">
        <f t="array" ref="F41">_xlfn.SWITCH(data[[#This Row],[diffusion_type]],"lognormal",0.0001,"normal",-0.01)*IF(data[[#This Row],[asset_class]]="Vol",1,1)</f>
        <v>1E-4</v>
      </c>
      <c r="G41" s="4"/>
      <c r="H41" s="4" t="s">
        <v>512</v>
      </c>
      <c r="I41" s="4" t="s">
        <v>92</v>
      </c>
      <c r="J41" s="4" t="s">
        <v>121</v>
      </c>
      <c r="K41" s="4">
        <v>0</v>
      </c>
      <c r="L41" s="4">
        <v>0</v>
      </c>
      <c r="M41" s="4">
        <v>0</v>
      </c>
      <c r="N41" s="4">
        <v>0</v>
      </c>
      <c r="O41" s="4" t="str">
        <f>data[[#This Row],[factor_name]]</f>
        <v>EWP</v>
      </c>
      <c r="P41" s="4" t="str" cm="1">
        <f t="array" ref="P41">_xlfn.IFS(data[[#This Row],[description_override]]&lt;&gt;"",data[[#This Row],[description_override]],data[[#This Row],[Description_GPT]]&lt;&gt;"",data[[#This Row],[Description_GPT]],data[[#This Row],[Underlying]]&lt;&gt;"",data[[#This Row],[Underlying]],TRUE,"-")</f>
        <v>MSCI Spain</v>
      </c>
      <c r="Q41" s="4" t="str">
        <f>_xlfn.XLOOKUP(data[[#This Row],[ticker]],yf_desc[ticker],yf_desc[shortName],"-")</f>
        <v xml:space="preserve">iShares Inc iShares MSCI Spain </v>
      </c>
      <c r="R41" s="4" t="str">
        <f>_xlfn.XLOOKUP(data[[#This Row],[ticker]],yf_desc[ticker],yf_desc[longName],"-")</f>
        <v>iShares MSCI Spain ETF</v>
      </c>
      <c r="S41"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Spain. The fund is non-diversified.</v>
      </c>
      <c r="T41" s="4"/>
    </row>
    <row r="42" spans="1:20" x14ac:dyDescent="0.25">
      <c r="A42" s="4" t="s">
        <v>39</v>
      </c>
      <c r="B42" s="4" t="s">
        <v>71</v>
      </c>
      <c r="C42" s="4" t="s">
        <v>324</v>
      </c>
      <c r="D42" s="4" t="s">
        <v>455</v>
      </c>
      <c r="E42" s="4" t="s">
        <v>454</v>
      </c>
      <c r="F42" s="4" cm="1">
        <f t="array" ref="F42">_xlfn.SWITCH(data[[#This Row],[diffusion_type]],"lognormal",0.0001,"normal",-0.01)*IF(data[[#This Row],[asset_class]]="Vol",1,1)</f>
        <v>1E-4</v>
      </c>
      <c r="G42" s="4" t="s">
        <v>77</v>
      </c>
      <c r="H42" s="4" t="s">
        <v>141</v>
      </c>
      <c r="I42" s="4" t="s">
        <v>78</v>
      </c>
      <c r="J42" s="4" t="s">
        <v>115</v>
      </c>
      <c r="K42" s="4">
        <v>1</v>
      </c>
      <c r="L42" s="4">
        <v>0</v>
      </c>
      <c r="M42" s="4">
        <v>0</v>
      </c>
      <c r="N42" s="4">
        <v>0</v>
      </c>
      <c r="O42" s="4" t="str">
        <f>data[[#This Row],[factor_name]]</f>
        <v>^N225</v>
      </c>
      <c r="P42" s="4" t="str" cm="1">
        <f t="array" ref="P42">_xlfn.IFS(data[[#This Row],[description_override]]&lt;&gt;"",data[[#This Row],[description_override]],data[[#This Row],[Description_GPT]]&lt;&gt;"",data[[#This Row],[Description_GPT]],data[[#This Row],[Underlying]]&lt;&gt;"",data[[#This Row],[Underlying]],TRUE,"-")</f>
        <v>Nikkei 225</v>
      </c>
      <c r="Q42" s="4" t="str">
        <f>_xlfn.XLOOKUP(data[[#This Row],[ticker]],yf_desc[ticker],yf_desc[shortName],"-")</f>
        <v>Nikkei 225</v>
      </c>
      <c r="R42" s="4" t="str">
        <f>_xlfn.XLOOKUP(data[[#This Row],[ticker]],yf_desc[ticker],yf_desc[longName],"-")</f>
        <v>Nikkei 225</v>
      </c>
      <c r="S42" s="4">
        <f>_xlfn.XLOOKUP(data[[#This Row],[ticker]],yf_desc[ticker],yf_desc[longBusinessSummary],"-")</f>
        <v>0</v>
      </c>
      <c r="T42" s="4"/>
    </row>
    <row r="43" spans="1:20" x14ac:dyDescent="0.25">
      <c r="A43" s="4" t="s">
        <v>39</v>
      </c>
      <c r="B43" s="4" t="s">
        <v>71</v>
      </c>
      <c r="C43" s="4" t="s">
        <v>142</v>
      </c>
      <c r="D43" s="4" t="s">
        <v>455</v>
      </c>
      <c r="E43" s="4" t="s">
        <v>454</v>
      </c>
      <c r="F43" s="4" cm="1">
        <f t="array" ref="F43">_xlfn.SWITCH(data[[#This Row],[diffusion_type]],"lognormal",0.0001,"normal",-0.01)*IF(data[[#This Row],[asset_class]]="Vol",1,1)</f>
        <v>1E-4</v>
      </c>
      <c r="G43" s="4" t="s">
        <v>142</v>
      </c>
      <c r="H43" s="4" t="s">
        <v>145</v>
      </c>
      <c r="I43" s="4" t="s">
        <v>143</v>
      </c>
      <c r="J43" s="4" t="s">
        <v>144</v>
      </c>
      <c r="K43" s="4">
        <v>0</v>
      </c>
      <c r="L43" s="4">
        <v>0</v>
      </c>
      <c r="M43" s="4">
        <v>0</v>
      </c>
      <c r="N43" s="4">
        <v>0</v>
      </c>
      <c r="O43" s="4" t="str">
        <f>data[[#This Row],[factor_name]]</f>
        <v>TPX</v>
      </c>
      <c r="P43" s="4" t="str" cm="1">
        <f t="array" ref="P43">_xlfn.IFS(data[[#This Row],[description_override]]&lt;&gt;"",data[[#This Row],[description_override]],data[[#This Row],[Description_GPT]]&lt;&gt;"",data[[#This Row],[Description_GPT]],data[[#This Row],[Underlying]]&lt;&gt;"",data[[#This Row],[Underlying]],TRUE,"-")</f>
        <v>TOPIX</v>
      </c>
      <c r="Q43" s="4" t="str">
        <f>_xlfn.XLOOKUP(data[[#This Row],[ticker]],yf_desc[ticker],yf_desc[shortName],"-")</f>
        <v>-</v>
      </c>
      <c r="R43" s="4" t="str">
        <f>_xlfn.XLOOKUP(data[[#This Row],[ticker]],yf_desc[ticker],yf_desc[longName],"-")</f>
        <v>-</v>
      </c>
      <c r="S43" s="4" t="str">
        <f>_xlfn.XLOOKUP(data[[#This Row],[ticker]],yf_desc[ticker],yf_desc[longBusinessSummary],"-")</f>
        <v>-</v>
      </c>
      <c r="T43" s="4" t="s">
        <v>489</v>
      </c>
    </row>
    <row r="44" spans="1:20" x14ac:dyDescent="0.25">
      <c r="A44" s="4" t="s">
        <v>39</v>
      </c>
      <c r="B44" s="4" t="s">
        <v>79</v>
      </c>
      <c r="C44" s="4" t="s">
        <v>80</v>
      </c>
      <c r="D44" s="4" t="s">
        <v>455</v>
      </c>
      <c r="E44" s="4" t="s">
        <v>454</v>
      </c>
      <c r="F44" s="4" cm="1">
        <f t="array" ref="F44">_xlfn.SWITCH(data[[#This Row],[diffusion_type]],"lognormal",0.0001,"normal",-0.01)*IF(data[[#This Row],[asset_class]]="Vol",1,1)</f>
        <v>1E-4</v>
      </c>
      <c r="G44" s="4" t="s">
        <v>80</v>
      </c>
      <c r="H44" s="4" t="s">
        <v>513</v>
      </c>
      <c r="I44" s="4" t="s">
        <v>81</v>
      </c>
      <c r="J44" s="4" t="s">
        <v>116</v>
      </c>
      <c r="K44" s="4">
        <v>1</v>
      </c>
      <c r="L44" s="4">
        <v>0</v>
      </c>
      <c r="M44" s="4">
        <v>0</v>
      </c>
      <c r="N44" s="4">
        <v>0</v>
      </c>
      <c r="O44" s="4" t="str">
        <f>data[[#This Row],[factor_name]]</f>
        <v>FXI</v>
      </c>
      <c r="P44" s="4" t="str" cm="1">
        <f t="array" ref="P44">_xlfn.IFS(data[[#This Row],[description_override]]&lt;&gt;"",data[[#This Row],[description_override]],data[[#This Row],[Description_GPT]]&lt;&gt;"",data[[#This Row],[Description_GPT]],data[[#This Row],[Underlying]]&lt;&gt;"",data[[#This Row],[Underlying]],TRUE,"-")</f>
        <v>China Large-Cap</v>
      </c>
      <c r="Q44" s="4" t="str">
        <f>_xlfn.XLOOKUP(data[[#This Row],[ticker]],yf_desc[ticker],yf_desc[shortName],"-")</f>
        <v>iShares China Large-Cap ETF</v>
      </c>
      <c r="R44" s="4" t="str">
        <f>_xlfn.XLOOKUP(data[[#This Row],[ticker]],yf_desc[ticker],yf_desc[longName],"-")</f>
        <v>iShares China Large-Cap ETF</v>
      </c>
      <c r="S44"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index designed to measure the performance of the largest companies in the Chinese equity market that trade on the Stock Exchange of Hong Kong and are available to international investors. The fund is non-diversified.</v>
      </c>
      <c r="T44" s="4"/>
    </row>
    <row r="45" spans="1:20" x14ac:dyDescent="0.25">
      <c r="A45" s="4" t="s">
        <v>39</v>
      </c>
      <c r="B45" s="4" t="s">
        <v>79</v>
      </c>
      <c r="C45" s="4" t="s">
        <v>82</v>
      </c>
      <c r="D45" s="4" t="s">
        <v>455</v>
      </c>
      <c r="E45" s="4" t="s">
        <v>454</v>
      </c>
      <c r="F45" s="4" cm="1">
        <f t="array" ref="F45">_xlfn.SWITCH(data[[#This Row],[diffusion_type]],"lognormal",0.0001,"normal",-0.01)*IF(data[[#This Row],[asset_class]]="Vol",1,1)</f>
        <v>1E-4</v>
      </c>
      <c r="G45" s="4" t="s">
        <v>82</v>
      </c>
      <c r="H45" s="4" t="s">
        <v>192</v>
      </c>
      <c r="I45" s="4" t="s">
        <v>83</v>
      </c>
      <c r="J45" s="4" t="s">
        <v>117</v>
      </c>
      <c r="K45" s="4">
        <v>1</v>
      </c>
      <c r="L45" s="4">
        <v>0</v>
      </c>
      <c r="M45" s="4">
        <v>0</v>
      </c>
      <c r="N45" s="4">
        <v>0</v>
      </c>
      <c r="O45" s="4" t="str">
        <f>data[[#This Row],[factor_name]]</f>
        <v>ASHR</v>
      </c>
      <c r="P45" s="4" t="str" cm="1">
        <f t="array" ref="P45">_xlfn.IFS(data[[#This Row],[description_override]]&lt;&gt;"",data[[#This Row],[description_override]],data[[#This Row],[Description_GPT]]&lt;&gt;"",data[[#This Row],[Description_GPT]],data[[#This Row],[Underlying]]&lt;&gt;"",data[[#This Row],[Underlying]],TRUE,"-")</f>
        <v>CSI 300 (China)</v>
      </c>
      <c r="Q45" s="4" t="str">
        <f>_xlfn.XLOOKUP(data[[#This Row],[ticker]],yf_desc[ticker],yf_desc[shortName],"-")</f>
        <v>Xtrackers Harvest CSI 300 China</v>
      </c>
      <c r="R45" s="4" t="str">
        <f>_xlfn.XLOOKUP(data[[#This Row],[ticker]],yf_desc[ticker],yf_desc[longName],"-")</f>
        <v>Xtrackers Harvest CSI 300 China A-Shares ETF</v>
      </c>
      <c r="S45" s="4" t="str">
        <f>_xlfn.XLOOKUP(data[[#This Row],[ticker]],yf_desc[ticker],yf_desc[longBusinessSummary],"-")</f>
        <v>The fund will normally invest at least 80% of its total assets in securities of issuers that comprise the underlying index. The underlying index is designed to reflect the price fluctuation and performance of the China A-Share market and is composed of the 300 largest and most liquid stocks in the China A-Share market. The underlying index includes small-cap, mid-cap, and large-cap stocks. It is non-diversified.</v>
      </c>
      <c r="T45" s="4"/>
    </row>
    <row r="46" spans="1:20" x14ac:dyDescent="0.25">
      <c r="A46" s="4" t="s">
        <v>39</v>
      </c>
      <c r="B46" s="4" t="s">
        <v>79</v>
      </c>
      <c r="C46" s="4" t="s">
        <v>400</v>
      </c>
      <c r="D46" s="4" t="s">
        <v>455</v>
      </c>
      <c r="E46" s="4" t="s">
        <v>454</v>
      </c>
      <c r="F46" s="4" cm="1">
        <f t="array" ref="F46">_xlfn.SWITCH(data[[#This Row],[diffusion_type]],"lognormal",0.0001,"normal",-0.01)*IF(data[[#This Row],[asset_class]]="Vol",1,1)</f>
        <v>1E-4</v>
      </c>
      <c r="G46" s="4" t="s">
        <v>400</v>
      </c>
      <c r="H46" s="4" t="s">
        <v>514</v>
      </c>
      <c r="I46" s="4" t="s">
        <v>401</v>
      </c>
      <c r="J46" s="4"/>
      <c r="K46" s="4">
        <v>1</v>
      </c>
      <c r="L46" s="4">
        <v>0</v>
      </c>
      <c r="M46" s="4">
        <v>0</v>
      </c>
      <c r="N46" s="4">
        <v>0</v>
      </c>
      <c r="O46" s="4" t="str">
        <f>data[[#This Row],[factor_name]]</f>
        <v>KWEB</v>
      </c>
      <c r="P46" s="4" t="str" cm="1">
        <f t="array" ref="P46">_xlfn.IFS(data[[#This Row],[description_override]]&lt;&gt;"",data[[#This Row],[description_override]],data[[#This Row],[Description_GPT]]&lt;&gt;"",data[[#This Row],[Description_GPT]],data[[#This Row],[Underlying]]&lt;&gt;"",data[[#This Row],[Underlying]],TRUE,"-")</f>
        <v>CSI China Internet</v>
      </c>
      <c r="Q46" s="4" t="str">
        <f>_xlfn.XLOOKUP(data[[#This Row],[ticker]],yf_desc[ticker],yf_desc[shortName],"-")</f>
        <v>KraneShares Trust KraneShares C</v>
      </c>
      <c r="R46" s="4" t="str">
        <f>_xlfn.XLOOKUP(data[[#This Row],[ticker]],yf_desc[ticker],yf_desc[longName],"-")</f>
        <v>KraneShares CSI China Internet ETF</v>
      </c>
      <c r="S46" s="4" t="str">
        <f>_xlfn.XLOOKUP(data[[#This Row],[ticker]],yf_desc[ticker],yf_desc[longBusinessSummary],"-")</f>
        <v>The fund will invest at least 80% of its net assets in instruments in its underlying index or in instruments that have economic characteristics similar to those in the underlying index. The index is designed to measure the equity market performance of investable publicly traded "China-based companies" whose primary business or businesses are in the Internet and Internet-related sectors, and are listed outside of Mainland China, as determined by the index provider. The fund is non-diversified.</v>
      </c>
      <c r="T46" s="4"/>
    </row>
    <row r="47" spans="1:20" x14ac:dyDescent="0.25">
      <c r="A47" s="4" t="s">
        <v>39</v>
      </c>
      <c r="B47" s="4" t="s">
        <v>74</v>
      </c>
      <c r="C47" s="4" t="s">
        <v>199</v>
      </c>
      <c r="D47" s="4" t="s">
        <v>455</v>
      </c>
      <c r="E47" s="4" t="s">
        <v>454</v>
      </c>
      <c r="F47" s="4" cm="1">
        <f t="array" ref="F47">_xlfn.SWITCH(data[[#This Row],[diffusion_type]],"lognormal",0.0001,"normal",-0.01)*IF(data[[#This Row],[asset_class]]="Vol",1,1)</f>
        <v>1E-4</v>
      </c>
      <c r="G47" s="4"/>
      <c r="H47" s="4" t="s">
        <v>193</v>
      </c>
      <c r="I47" s="4"/>
      <c r="J47" s="4" t="s">
        <v>515</v>
      </c>
      <c r="K47" s="4">
        <v>1</v>
      </c>
      <c r="L47" s="4">
        <v>0</v>
      </c>
      <c r="M47" s="4">
        <v>0</v>
      </c>
      <c r="N47" s="4">
        <v>0</v>
      </c>
      <c r="O47" s="4" t="str">
        <f>data[[#This Row],[factor_name]]</f>
        <v>EEM</v>
      </c>
      <c r="P47" s="4" t="str" cm="1">
        <f t="array" ref="P47">_xlfn.IFS(data[[#This Row],[description_override]]&lt;&gt;"",data[[#This Row],[description_override]],data[[#This Row],[Description_GPT]]&lt;&gt;"",data[[#This Row],[Description_GPT]],data[[#This Row],[Underlying]]&lt;&gt;"",data[[#This Row],[Underlying]],TRUE,"-")</f>
        <v>MSCI EM</v>
      </c>
      <c r="Q47" s="4" t="str">
        <f>_xlfn.XLOOKUP(data[[#This Row],[ticker]],yf_desc[ticker],yf_desc[shortName],"-")</f>
        <v>iShares MSCI Emerging Index Fun</v>
      </c>
      <c r="R47" s="4" t="str">
        <f>_xlfn.XLOOKUP(data[[#This Row],[ticker]],yf_desc[ticker],yf_desc[longName],"-")</f>
        <v>iShares MSCI Emerging Markets ETF</v>
      </c>
      <c r="S47" s="4" t="str">
        <f>_xlfn.XLOOKUP(data[[#This Row],[ticker]],yf_desc[ticker],yf_desc[longBusinessSummary],"-")</f>
        <v>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v>
      </c>
      <c r="T47" s="4"/>
    </row>
    <row r="48" spans="1:20" x14ac:dyDescent="0.25">
      <c r="A48" s="4" t="s">
        <v>46</v>
      </c>
      <c r="B48" s="4" t="s">
        <v>40</v>
      </c>
      <c r="C48" s="4" t="s">
        <v>10</v>
      </c>
      <c r="D48" s="4" t="s">
        <v>455</v>
      </c>
      <c r="E48" s="4" t="s">
        <v>454</v>
      </c>
      <c r="F48" s="4" cm="1">
        <f t="array" ref="F48">_xlfn.SWITCH(data[[#This Row],[diffusion_type]],"lognormal",0.0001,"normal",-0.01)*IF(data[[#This Row],[asset_class]]="Vol",1,1)</f>
        <v>1E-4</v>
      </c>
      <c r="G48" s="4" t="s">
        <v>426</v>
      </c>
      <c r="H48" s="4"/>
      <c r="I48" s="4" t="s">
        <v>47</v>
      </c>
      <c r="J48" s="4" t="s">
        <v>103</v>
      </c>
      <c r="K48" s="4">
        <v>1</v>
      </c>
      <c r="L48" s="4">
        <v>0</v>
      </c>
      <c r="M48" s="4">
        <v>0</v>
      </c>
      <c r="N48" s="4">
        <v>0</v>
      </c>
      <c r="O48" s="4" t="str">
        <f>data[[#This Row],[factor_name]]</f>
        <v>LQD</v>
      </c>
      <c r="P48" s="4" t="str" cm="1">
        <f t="array" ref="P48">_xlfn.IFS(data[[#This Row],[description_override]]&lt;&gt;"",data[[#This Row],[description_override]],data[[#This Row],[Description_GPT]]&lt;&gt;"",data[[#This Row],[Description_GPT]],data[[#This Row],[Underlying]]&lt;&gt;"",data[[#This Row],[Underlying]],TRUE,"-")</f>
        <v>iShares iBoxx $ Investment Grade Corporate Bond ETF</v>
      </c>
      <c r="Q48" s="4" t="str">
        <f>_xlfn.XLOOKUP(data[[#This Row],[ticker]],yf_desc[ticker],yf_desc[shortName],"-")</f>
        <v>iShares iBoxx $ Investment Grad</v>
      </c>
      <c r="R48" s="4" t="str">
        <f>_xlfn.XLOOKUP(data[[#This Row],[ticker]],yf_desc[ticker],yf_desc[longName],"-")</f>
        <v>iShares iBoxx $ Investment Grade Corporate Bond ETF</v>
      </c>
      <c r="S48" s="4" t="str">
        <f>_xlfn.XLOOKUP(data[[#This Row],[ticker]],yf_desc[ticker],yf_desc[longBusinessSummary],"-")</f>
        <v>The fund will invest at least 80% of its assets in the component securities of the underlying index, and it will invest at least 90% of its assets in fixed income securities of the types included in the underlying index that the advisor believes will help the fund track the underlying index. The underlying index is designed to provide a broad representation of the U.S. dollar-denominated liquid investment-grade corporate bond market.</v>
      </c>
      <c r="T48" s="4"/>
    </row>
    <row r="49" spans="1:20" x14ac:dyDescent="0.25">
      <c r="A49" s="4" t="s">
        <v>46</v>
      </c>
      <c r="B49" s="4" t="s">
        <v>40</v>
      </c>
      <c r="C49" s="4" t="s">
        <v>447</v>
      </c>
      <c r="D49" s="4" t="s">
        <v>455</v>
      </c>
      <c r="E49" s="4" t="s">
        <v>454</v>
      </c>
      <c r="F49" s="4" cm="1">
        <f t="array" ref="F49">_xlfn.SWITCH(data[[#This Row],[diffusion_type]],"lognormal",0.0001,"normal",-0.01)*IF(data[[#This Row],[asset_class]]="Vol",1,1)</f>
        <v>1E-4</v>
      </c>
      <c r="G49" s="4"/>
      <c r="H49" s="4"/>
      <c r="I49" s="4" t="s">
        <v>487</v>
      </c>
      <c r="J49" s="4" t="s">
        <v>488</v>
      </c>
      <c r="K49" s="4">
        <v>1</v>
      </c>
      <c r="L49" s="4">
        <v>0</v>
      </c>
      <c r="M49" s="4">
        <v>0</v>
      </c>
      <c r="N49" s="4">
        <v>0</v>
      </c>
      <c r="O49" s="4" t="str">
        <f>data[[#This Row],[factor_name]]</f>
        <v>BSV</v>
      </c>
      <c r="P49" s="4" t="str" cm="1">
        <f t="array" ref="P49">_xlfn.IFS(data[[#This Row],[description_override]]&lt;&gt;"",data[[#This Row],[description_override]],data[[#This Row],[Description_GPT]]&lt;&gt;"",data[[#This Row],[Description_GPT]],data[[#This Row],[Underlying]]&lt;&gt;"",data[[#This Row],[Underlying]],TRUE,"-")</f>
        <v>Vanguard Short-Term Bond Index Fund ETF</v>
      </c>
      <c r="Q49" s="4" t="str">
        <f>_xlfn.XLOOKUP(data[[#This Row],[ticker]],yf_desc[ticker],yf_desc[shortName],"-")</f>
        <v>Vanguard Short-Term Bond ETF</v>
      </c>
      <c r="R49" s="4" t="str">
        <f>_xlfn.XLOOKUP(data[[#This Row],[ticker]],yf_desc[ticker],yf_desc[longName],"-")</f>
        <v>Vanguard Short-Term Bond Index Fund ETF Shares</v>
      </c>
      <c r="S49" s="4" t="str">
        <f>_xlfn.XLOOKUP(data[[#This Row],[ticker]],yf_desc[ticker],yf_desc[longBusinessSummary],"-")</f>
        <v>This index includes all medium and larger issues of U.S. government, investment-grade corporate, and investment-grade international dollar-denominated bonds that have maturities between 1 and 5 years and are publicly issued. All of the fund's investments will be selected through the sampling process, and at least 80% of its assets will be invested in bonds held in the index.</v>
      </c>
      <c r="T49" s="4"/>
    </row>
    <row r="50" spans="1:20" x14ac:dyDescent="0.25">
      <c r="A50" s="4" t="s">
        <v>46</v>
      </c>
      <c r="B50" s="4" t="s">
        <v>40</v>
      </c>
      <c r="C50" s="4" t="s">
        <v>12</v>
      </c>
      <c r="D50" s="4" t="s">
        <v>455</v>
      </c>
      <c r="E50" s="4" t="s">
        <v>454</v>
      </c>
      <c r="F50" s="4" cm="1">
        <f t="array" ref="F50">_xlfn.SWITCH(data[[#This Row],[diffusion_type]],"lognormal",0.0001,"normal",-0.01)*IF(data[[#This Row],[asset_class]]="Vol",1,1)</f>
        <v>1E-4</v>
      </c>
      <c r="G50" s="4" t="s">
        <v>427</v>
      </c>
      <c r="H50" s="4"/>
      <c r="I50" s="4" t="s">
        <v>48</v>
      </c>
      <c r="J50" s="4" t="s">
        <v>104</v>
      </c>
      <c r="K50" s="4">
        <v>1</v>
      </c>
      <c r="L50" s="4">
        <v>0</v>
      </c>
      <c r="M50" s="4">
        <v>0</v>
      </c>
      <c r="N50" s="4">
        <v>0</v>
      </c>
      <c r="O50" s="4" t="str">
        <f>data[[#This Row],[factor_name]]</f>
        <v>HYG</v>
      </c>
      <c r="P50" s="4" t="str" cm="1">
        <f t="array" ref="P50">_xlfn.IFS(data[[#This Row],[description_override]]&lt;&gt;"",data[[#This Row],[description_override]],data[[#This Row],[Description_GPT]]&lt;&gt;"",data[[#This Row],[Description_GPT]],data[[#This Row],[Underlying]]&lt;&gt;"",data[[#This Row],[Underlying]],TRUE,"-")</f>
        <v>iShares iBoxx $ High Yield Corporate Bond ETF</v>
      </c>
      <c r="Q50" s="4" t="str">
        <f>_xlfn.XLOOKUP(data[[#This Row],[ticker]],yf_desc[ticker],yf_desc[shortName],"-")</f>
        <v>iShares iBoxx $ High Yield Corp</v>
      </c>
      <c r="R50" s="4" t="str">
        <f>_xlfn.XLOOKUP(data[[#This Row],[ticker]],yf_desc[ticker],yf_desc[longName],"-")</f>
        <v>iShares iBoxx $ High Yield Corporate Bond ETF</v>
      </c>
      <c r="S50" s="4" t="str">
        <f>_xlfn.XLOOKUP(data[[#This Row],[ticker]],yf_desc[ticker],yf_desc[longBusinessSummary],"-")</f>
        <v>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v>
      </c>
      <c r="T50" s="4"/>
    </row>
    <row r="51" spans="1:20" x14ac:dyDescent="0.25">
      <c r="A51" s="4" t="s">
        <v>46</v>
      </c>
      <c r="B51" s="4" t="s">
        <v>40</v>
      </c>
      <c r="C51" s="4" t="s">
        <v>347</v>
      </c>
      <c r="D51" s="4" t="s">
        <v>455</v>
      </c>
      <c r="E51" s="4" t="s">
        <v>454</v>
      </c>
      <c r="F51" s="4" cm="1">
        <f t="array" ref="F51">_xlfn.SWITCH(data[[#This Row],[diffusion_type]],"lognormal",0.0001,"normal",-0.01)*IF(data[[#This Row],[asset_class]]="Vol",1,1)</f>
        <v>1E-4</v>
      </c>
      <c r="G51" s="4" t="s">
        <v>9</v>
      </c>
      <c r="H51" s="4" t="s">
        <v>526</v>
      </c>
      <c r="I51" s="4"/>
      <c r="J51" s="4" t="s">
        <v>406</v>
      </c>
      <c r="K51" s="4">
        <v>1</v>
      </c>
      <c r="L51" s="4">
        <v>1</v>
      </c>
      <c r="M51" s="4">
        <v>0</v>
      </c>
      <c r="N51" s="4">
        <v>0</v>
      </c>
      <c r="O51" s="4" t="str">
        <f>data[[#This Row],[factor_name]]</f>
        <v>LQDH</v>
      </c>
      <c r="P51" s="4" t="str" cm="1">
        <f t="array" ref="P51">_xlfn.IFS(data[[#This Row],[description_override]]&lt;&gt;"",data[[#This Row],[description_override]],data[[#This Row],[Description_GPT]]&lt;&gt;"",data[[#This Row],[Description_GPT]],data[[#This Row],[Underlying]]&lt;&gt;"",data[[#This Row],[Underlying]],TRUE,"-")</f>
        <v>Hedged LQD</v>
      </c>
      <c r="Q51" s="4" t="str">
        <f>_xlfn.XLOOKUP(data[[#This Row],[ticker]],yf_desc[ticker],yf_desc[shortName],"-")</f>
        <v>iShares Interest Rate Hedged Co</v>
      </c>
      <c r="R51" s="4" t="str">
        <f>_xlfn.XLOOKUP(data[[#This Row],[ticker]],yf_desc[ticker],yf_desc[longName],"-")</f>
        <v>iShares Interest Rate Hedged Corporate Bond ETF</v>
      </c>
      <c r="S51" s="4" t="str">
        <f>_xlfn.XLOOKUP(data[[#This Row],[ticker]],yf_desc[ticker],yf_desc[longBusinessSummary],"-")</f>
        <v>The index is designed to minimize the interest-rate risk exposure of a portfolio composed of U.S. dollar-denominated, investment grade bonds, represented in the index by the underlying fund, by including a series of up to 10 interest rate swap contracts with different maturities. The fund invests, under normal circumstances, at least 80% of its net assets, plus the amount of any borrowings for investment purposes, in component securities and instruments in the index and/or bonds included in the underlying index of the underlying fund.</v>
      </c>
      <c r="T51" s="4"/>
    </row>
    <row r="52" spans="1:20" x14ac:dyDescent="0.25">
      <c r="A52" s="4" t="s">
        <v>46</v>
      </c>
      <c r="B52" s="4" t="s">
        <v>40</v>
      </c>
      <c r="C52" s="4" t="s">
        <v>348</v>
      </c>
      <c r="D52" s="4" t="s">
        <v>455</v>
      </c>
      <c r="E52" s="4" t="s">
        <v>454</v>
      </c>
      <c r="F52" s="4" cm="1">
        <f t="array" ref="F52">_xlfn.SWITCH(data[[#This Row],[diffusion_type]],"lognormal",0.0001,"normal",-0.01)*IF(data[[#This Row],[asset_class]]="Vol",1,1)</f>
        <v>1E-4</v>
      </c>
      <c r="G52" s="4" t="s">
        <v>11</v>
      </c>
      <c r="H52" s="4" t="s">
        <v>525</v>
      </c>
      <c r="I52" s="4"/>
      <c r="J52" s="4" t="s">
        <v>408</v>
      </c>
      <c r="K52" s="4">
        <v>1</v>
      </c>
      <c r="L52" s="4">
        <v>0</v>
      </c>
      <c r="M52" s="4">
        <v>0</v>
      </c>
      <c r="N52" s="4">
        <v>0</v>
      </c>
      <c r="O52" s="4" t="str">
        <f>data[[#This Row],[factor_name]]</f>
        <v>HYGH</v>
      </c>
      <c r="P52" s="4" t="str" cm="1">
        <f t="array" ref="P52">_xlfn.IFS(data[[#This Row],[description_override]]&lt;&gt;"",data[[#This Row],[description_override]],data[[#This Row],[Description_GPT]]&lt;&gt;"",data[[#This Row],[Description_GPT]],data[[#This Row],[Underlying]]&lt;&gt;"",data[[#This Row],[Underlying]],TRUE,"-")</f>
        <v>Hedged HYG</v>
      </c>
      <c r="Q52" s="4" t="str">
        <f>_xlfn.XLOOKUP(data[[#This Row],[ticker]],yf_desc[ticker],yf_desc[shortName],"-")</f>
        <v>iShares Interest Rate Hedged Hi</v>
      </c>
      <c r="R52" s="4" t="str">
        <f>_xlfn.XLOOKUP(data[[#This Row],[ticker]],yf_desc[ticker],yf_desc[longName],"-")</f>
        <v>iShares Interest Rate Hedged High Yield Bond ETF</v>
      </c>
      <c r="S52" s="4" t="str">
        <f>_xlfn.XLOOKUP(data[[#This Row],[ticker]],yf_desc[ticker],yf_desc[longBusinessSummary],"-")</f>
        <v>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v>
      </c>
      <c r="T52" s="4"/>
    </row>
    <row r="53" spans="1:20" x14ac:dyDescent="0.25">
      <c r="A53" s="4" t="s">
        <v>46</v>
      </c>
      <c r="B53" s="4" t="s">
        <v>40</v>
      </c>
      <c r="C53" s="4" t="s">
        <v>293</v>
      </c>
      <c r="D53" s="4" t="s">
        <v>455</v>
      </c>
      <c r="E53" s="4" t="s">
        <v>454</v>
      </c>
      <c r="F53" s="4" cm="1">
        <f t="array" ref="F53">_xlfn.SWITCH(data[[#This Row],[diffusion_type]],"lognormal",0.0001,"normal",-0.01)*IF(data[[#This Row],[asset_class]]="Vol",1,1)</f>
        <v>1E-4</v>
      </c>
      <c r="G53" s="4" t="s">
        <v>11</v>
      </c>
      <c r="H53" s="4" t="s">
        <v>697</v>
      </c>
      <c r="I53" s="4"/>
      <c r="J53" s="4"/>
      <c r="K53" s="4">
        <v>1</v>
      </c>
      <c r="L53" s="4">
        <v>0</v>
      </c>
      <c r="M53" s="4">
        <v>0</v>
      </c>
      <c r="N53" s="4">
        <v>0</v>
      </c>
      <c r="O53" s="4" t="str">
        <f>data[[#This Row],[factor_name]]</f>
        <v>BKLN</v>
      </c>
      <c r="P53" s="4" t="str" cm="1">
        <f t="array" ref="P53">_xlfn.IFS(data[[#This Row],[description_override]]&lt;&gt;"",data[[#This Row],[description_override]],data[[#This Row],[Description_GPT]]&lt;&gt;"",data[[#This Row],[Description_GPT]],data[[#This Row],[Underlying]]&lt;&gt;"",data[[#This Row],[Underlying]],TRUE,"-")</f>
        <v>Bank Loans</v>
      </c>
      <c r="Q53" s="4" t="str">
        <f>_xlfn.XLOOKUP(data[[#This Row],[ticker]],yf_desc[ticker],yf_desc[shortName],"-")</f>
        <v>-</v>
      </c>
      <c r="R53" s="4" t="str">
        <f>_xlfn.XLOOKUP(data[[#This Row],[ticker]],yf_desc[ticker],yf_desc[longName],"-")</f>
        <v>-</v>
      </c>
      <c r="S53" s="4" t="str">
        <f>_xlfn.XLOOKUP(data[[#This Row],[ticker]],yf_desc[ticker],yf_desc[longBusinessSummary],"-")</f>
        <v>-</v>
      </c>
      <c r="T53" s="4"/>
    </row>
    <row r="54" spans="1:20" x14ac:dyDescent="0.25">
      <c r="A54" s="4" t="s">
        <v>46</v>
      </c>
      <c r="B54" s="4" t="s">
        <v>40</v>
      </c>
      <c r="C54" s="4" t="s">
        <v>218</v>
      </c>
      <c r="D54" s="4" t="s">
        <v>455</v>
      </c>
      <c r="E54" s="4" t="s">
        <v>454</v>
      </c>
      <c r="F54" s="4" cm="1">
        <f t="array" ref="F54">_xlfn.SWITCH(data[[#This Row],[diffusion_type]],"lognormal",0.0001,"normal",-0.01)*IF(data[[#This Row],[asset_class]]="Vol",1,1)</f>
        <v>1E-4</v>
      </c>
      <c r="G54" s="4"/>
      <c r="H54" s="4" t="s">
        <v>517</v>
      </c>
      <c r="I54" s="4"/>
      <c r="J54" s="4" t="s">
        <v>516</v>
      </c>
      <c r="K54" s="4">
        <v>1</v>
      </c>
      <c r="L54" s="4">
        <v>0</v>
      </c>
      <c r="M54" s="4">
        <v>0</v>
      </c>
      <c r="N54" s="4">
        <v>0</v>
      </c>
      <c r="O54" s="4" t="str">
        <f>data[[#This Row],[factor_name]]</f>
        <v>AGG</v>
      </c>
      <c r="P54" s="4" t="str" cm="1">
        <f t="array" ref="P54">_xlfn.IFS(data[[#This Row],[description_override]]&lt;&gt;"",data[[#This Row],[description_override]],data[[#This Row],[Description_GPT]]&lt;&gt;"",data[[#This Row],[Description_GPT]],data[[#This Row],[Underlying]]&lt;&gt;"",data[[#This Row],[Underlying]],TRUE,"-")</f>
        <v>US Agg</v>
      </c>
      <c r="Q54" s="4" t="str">
        <f>_xlfn.XLOOKUP(data[[#This Row],[ticker]],yf_desc[ticker],yf_desc[shortName],"-")</f>
        <v>iShares Core U.S. Aggregate Bon</v>
      </c>
      <c r="R54" s="4" t="str">
        <f>_xlfn.XLOOKUP(data[[#This Row],[ticker]],yf_desc[ticker],yf_desc[longName],"-")</f>
        <v>iShares Core U.S. Aggregate Bond ETF</v>
      </c>
      <c r="S54" s="4" t="str">
        <f>_xlfn.XLOOKUP(data[[#This Row],[ticker]],yf_desc[ticker],yf_desc[longBusinessSummary],"-")</f>
        <v>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v>
      </c>
      <c r="T54" s="4"/>
    </row>
    <row r="55" spans="1:20" x14ac:dyDescent="0.25">
      <c r="A55" s="4" t="s">
        <v>128</v>
      </c>
      <c r="B55" s="4" t="s">
        <v>40</v>
      </c>
      <c r="C55" s="4" t="s">
        <v>458</v>
      </c>
      <c r="D55" s="4" t="s">
        <v>455</v>
      </c>
      <c r="E55" s="4" t="s">
        <v>467</v>
      </c>
      <c r="F55" s="4" cm="1">
        <f t="array" ref="F55">_xlfn.SWITCH(data[[#This Row],[diffusion_type]],"lognormal",0.0001,"normal",-0.01)*IF(data[[#This Row],[asset_class]]="Vol",1,1)</f>
        <v>-0.01</v>
      </c>
      <c r="G55" s="4"/>
      <c r="H55" s="4"/>
      <c r="I55" s="4"/>
      <c r="J55" s="4" t="s">
        <v>518</v>
      </c>
      <c r="K55" s="4">
        <v>1</v>
      </c>
      <c r="L55" s="4">
        <v>0</v>
      </c>
      <c r="M55" s="4">
        <v>0</v>
      </c>
      <c r="N55" s="4">
        <v>0</v>
      </c>
      <c r="O55" s="4" t="str">
        <f>data[[#This Row],[factor_name]]</f>
        <v>^TNX</v>
      </c>
      <c r="P55" s="4" t="str" cm="1">
        <f t="array" ref="P55">_xlfn.IFS(data[[#This Row],[description_override]]&lt;&gt;"",data[[#This Row],[description_override]],data[[#This Row],[Description_GPT]]&lt;&gt;"",data[[#This Row],[Description_GPT]],data[[#This Row],[Underlying]]&lt;&gt;"",data[[#This Row],[Underlying]],TRUE,"-")</f>
        <v>CBOE Interest Rate 10 Year</v>
      </c>
      <c r="Q55" s="4" t="str">
        <f>_xlfn.XLOOKUP(data[[#This Row],[ticker]],yf_desc[ticker],yf_desc[shortName],"-")</f>
        <v>CBOE Interest Rate 10 Year T No</v>
      </c>
      <c r="R55" s="4" t="str">
        <f>_xlfn.XLOOKUP(data[[#This Row],[ticker]],yf_desc[ticker],yf_desc[longName],"-")</f>
        <v>CBOE Interest Rate 10 Year T No</v>
      </c>
      <c r="S55" s="4">
        <f>_xlfn.XLOOKUP(data[[#This Row],[ticker]],yf_desc[ticker],yf_desc[longBusinessSummary],"-")</f>
        <v>0</v>
      </c>
      <c r="T55" s="4"/>
    </row>
    <row r="56" spans="1:20" x14ac:dyDescent="0.25">
      <c r="A56" s="4" t="s">
        <v>128</v>
      </c>
      <c r="B56" s="4" t="s">
        <v>40</v>
      </c>
      <c r="C56" s="4" t="s">
        <v>51</v>
      </c>
      <c r="D56" s="4" t="s">
        <v>455</v>
      </c>
      <c r="E56" s="4" t="s">
        <v>454</v>
      </c>
      <c r="F56" s="4" cm="1">
        <f t="array" ref="F56">_xlfn.SWITCH(data[[#This Row],[diffusion_type]],"lognormal",0.0001,"normal",-0.01)*IF(data[[#This Row],[asset_class]]="Vol",1,1)</f>
        <v>1E-4</v>
      </c>
      <c r="G56" s="4" t="s">
        <v>236</v>
      </c>
      <c r="H56" s="4" t="str">
        <f>_xlfn.TEXTBEFORE(_xlfn.TEXTAFTER(data[[#This Row],[Description_GPT]],"iShares ")," Bond")</f>
        <v>1-3 Year Treasury</v>
      </c>
      <c r="I56" s="4" t="s">
        <v>52</v>
      </c>
      <c r="J56" s="4" t="s">
        <v>129</v>
      </c>
      <c r="K56" s="4">
        <v>1</v>
      </c>
      <c r="L56" s="4">
        <v>0</v>
      </c>
      <c r="M56" s="4">
        <v>0</v>
      </c>
      <c r="N56" s="4">
        <v>0</v>
      </c>
      <c r="O56" s="4" t="str">
        <f>data[[#This Row],[factor_name]]</f>
        <v>SHY</v>
      </c>
      <c r="P56" s="4" t="str" cm="1">
        <f t="array" ref="P56">_xlfn.IFS(data[[#This Row],[description_override]]&lt;&gt;"",data[[#This Row],[description_override]],data[[#This Row],[Description_GPT]]&lt;&gt;"",data[[#This Row],[Description_GPT]],data[[#This Row],[Underlying]]&lt;&gt;"",data[[#This Row],[Underlying]],TRUE,"-")</f>
        <v>1-3 Year Treasury</v>
      </c>
      <c r="Q56" s="4" t="str">
        <f>_xlfn.XLOOKUP(data[[#This Row],[ticker]],yf_desc[ticker],yf_desc[shortName],"-")</f>
        <v xml:space="preserve">iShares 1-3 Year Treasury Bond </v>
      </c>
      <c r="R56" s="4" t="str">
        <f>_xlfn.XLOOKUP(data[[#This Row],[ticker]],yf_desc[ticker],yf_desc[longName],"-")</f>
        <v>iShares 1-3 Year Treasury Bond ETF</v>
      </c>
      <c r="S56" s="4" t="str">
        <f>_xlfn.XLOOKUP(data[[#This Row],[ticker]],yf_desc[ticker],yf_desc[longBusinessSummary],"-")</f>
        <v>The fund will invest at least 80% of its assets in the component securities of the underlying index and it will invest at least 90% of its assets in U.S. Treasury securities that BFA believes will help the fund track the underlying index. The underlying index measures the performance of public obligations of the U.S. Treasury that have a remaining maturity of greater than or equal to one year and less than three years.</v>
      </c>
      <c r="T56" s="4"/>
    </row>
    <row r="57" spans="1:20" x14ac:dyDescent="0.25">
      <c r="A57" s="4" t="s">
        <v>128</v>
      </c>
      <c r="B57" s="4" t="s">
        <v>40</v>
      </c>
      <c r="C57" s="4" t="s">
        <v>126</v>
      </c>
      <c r="D57" s="4" t="s">
        <v>455</v>
      </c>
      <c r="E57" s="4" t="s">
        <v>454</v>
      </c>
      <c r="F57" s="4" cm="1">
        <f t="array" ref="F57">_xlfn.SWITCH(data[[#This Row],[diffusion_type]],"lognormal",0.0001,"normal",-0.01)*IF(data[[#This Row],[asset_class]]="Vol",1,1)</f>
        <v>1E-4</v>
      </c>
      <c r="G57" s="4" t="s">
        <v>237</v>
      </c>
      <c r="H57" s="4" t="str">
        <f>_xlfn.TEXTBEFORE(_xlfn.TEXTAFTER(data[[#This Row],[Description_GPT]],"iShares ")," Bond")</f>
        <v>3-7 Year Treasury</v>
      </c>
      <c r="I57" s="4" t="s">
        <v>127</v>
      </c>
      <c r="J57" s="4" t="s">
        <v>130</v>
      </c>
      <c r="K57" s="4">
        <v>1</v>
      </c>
      <c r="L57" s="4">
        <v>0</v>
      </c>
      <c r="M57" s="4">
        <v>0</v>
      </c>
      <c r="N57" s="4">
        <v>0</v>
      </c>
      <c r="O57" s="4" t="str">
        <f>data[[#This Row],[factor_name]]</f>
        <v>IEI</v>
      </c>
      <c r="P57" s="4" t="str" cm="1">
        <f t="array" ref="P57">_xlfn.IFS(data[[#This Row],[description_override]]&lt;&gt;"",data[[#This Row],[description_override]],data[[#This Row],[Description_GPT]]&lt;&gt;"",data[[#This Row],[Description_GPT]],data[[#This Row],[Underlying]]&lt;&gt;"",data[[#This Row],[Underlying]],TRUE,"-")</f>
        <v>3-7 Year Treasury</v>
      </c>
      <c r="Q57" s="4" t="str">
        <f>_xlfn.XLOOKUP(data[[#This Row],[ticker]],yf_desc[ticker],yf_desc[shortName],"-")</f>
        <v xml:space="preserve">iShares 3-7 Year Treasury Bond </v>
      </c>
      <c r="R57" s="4" t="str">
        <f>_xlfn.XLOOKUP(data[[#This Row],[ticker]],yf_desc[ticker],yf_desc[longName],"-")</f>
        <v>iShares 3-7 Year Treasury Bond ETF</v>
      </c>
      <c r="S57" s="4" t="str">
        <f>_xlfn.XLOOKUP(data[[#This Row],[ticker]],yf_desc[ticker],yf_desc[longBusinessSummary],"-")</f>
        <v>The index measures the performance of public obligations of the U.S. Treasury that have a remaining maturity of greater than or equal to three years and less than seven years. The fund will invest at least 80% of its assets in the component securities of the index, and the fund will invest at least 90% of its assets in U.S. Treasury securities that BFA believes will help the fund track the index.</v>
      </c>
      <c r="T57" s="4"/>
    </row>
    <row r="58" spans="1:20" x14ac:dyDescent="0.25">
      <c r="A58" s="4" t="s">
        <v>128</v>
      </c>
      <c r="B58" s="4" t="s">
        <v>40</v>
      </c>
      <c r="C58" s="4" t="s">
        <v>131</v>
      </c>
      <c r="D58" s="4" t="s">
        <v>455</v>
      </c>
      <c r="E58" s="4" t="s">
        <v>454</v>
      </c>
      <c r="F58" s="4" cm="1">
        <f t="array" ref="F58">_xlfn.SWITCH(data[[#This Row],[diffusion_type]],"lognormal",0.0001,"normal",-0.01)*IF(data[[#This Row],[asset_class]]="Vol",1,1)</f>
        <v>1E-4</v>
      </c>
      <c r="G58" s="4" t="s">
        <v>238</v>
      </c>
      <c r="H58" s="4" t="str">
        <f>_xlfn.TEXTBEFORE(_xlfn.TEXTAFTER(data[[#This Row],[Description_GPT]],"iShares ")," Bond")</f>
        <v>7-10 Year Treasury</v>
      </c>
      <c r="I58" s="4" t="s">
        <v>132</v>
      </c>
      <c r="J58" s="4" t="s">
        <v>133</v>
      </c>
      <c r="K58" s="4">
        <v>1</v>
      </c>
      <c r="L58" s="4">
        <v>1</v>
      </c>
      <c r="M58" s="4">
        <v>0</v>
      </c>
      <c r="N58" s="4">
        <v>0</v>
      </c>
      <c r="O58" s="4" t="str">
        <f>data[[#This Row],[factor_name]]</f>
        <v>IEF</v>
      </c>
      <c r="P58" s="4" t="str" cm="1">
        <f t="array" ref="P58">_xlfn.IFS(data[[#This Row],[description_override]]&lt;&gt;"",data[[#This Row],[description_override]],data[[#This Row],[Description_GPT]]&lt;&gt;"",data[[#This Row],[Description_GPT]],data[[#This Row],[Underlying]]&lt;&gt;"",data[[#This Row],[Underlying]],TRUE,"-")</f>
        <v>7-10 Year Treasury</v>
      </c>
      <c r="Q58" s="4" t="str">
        <f>_xlfn.XLOOKUP(data[[#This Row],[ticker]],yf_desc[ticker],yf_desc[shortName],"-")</f>
        <v>iShares 7-10 Year Treasury Bond</v>
      </c>
      <c r="R58" s="4" t="str">
        <f>_xlfn.XLOOKUP(data[[#This Row],[ticker]],yf_desc[ticker],yf_desc[longName],"-")</f>
        <v>iShares 7-10 Year Treasury Bond ETF</v>
      </c>
      <c r="S58" s="4" t="str">
        <f>_xlfn.XLOOKUP(data[[#This Row],[ticker]],yf_desc[ticker],yf_desc[longBusinessSummary],"-")</f>
        <v>The underlying index measures the performance of public obligations of the U.S. Treasury that have a remaining maturity of greater than or equal to seven years and less than ten years. The fund will invest at least 80% of its assets in the component securities of the underlying index, and the fund will invest at least 90% of its assets in U.S. Treasury securities that the advisor believes will help the fund track the underlying index.</v>
      </c>
      <c r="T58" s="4"/>
    </row>
    <row r="59" spans="1:20" x14ac:dyDescent="0.25">
      <c r="A59" s="4" t="s">
        <v>128</v>
      </c>
      <c r="B59" s="4" t="s">
        <v>40</v>
      </c>
      <c r="C59" s="4" t="s">
        <v>49</v>
      </c>
      <c r="D59" s="4" t="s">
        <v>455</v>
      </c>
      <c r="E59" s="4" t="s">
        <v>454</v>
      </c>
      <c r="F59" s="4" cm="1">
        <f t="array" ref="F59">_xlfn.SWITCH(data[[#This Row],[diffusion_type]],"lognormal",0.0001,"normal",-0.01)*IF(data[[#This Row],[asset_class]]="Vol",1,1)</f>
        <v>1E-4</v>
      </c>
      <c r="G59" s="4" t="s">
        <v>240</v>
      </c>
      <c r="H59" s="4" t="str">
        <f>_xlfn.TEXTBEFORE(_xlfn.TEXTAFTER(data[[#This Row],[Description_GPT]],"iShares ")," Bond")</f>
        <v>20+ Year Treasury</v>
      </c>
      <c r="I59" s="4" t="s">
        <v>50</v>
      </c>
      <c r="J59" s="4" t="s">
        <v>134</v>
      </c>
      <c r="K59" s="4">
        <v>1</v>
      </c>
      <c r="L59" s="4">
        <v>0</v>
      </c>
      <c r="M59" s="4">
        <v>0</v>
      </c>
      <c r="N59" s="4">
        <v>0</v>
      </c>
      <c r="O59" s="4" t="str">
        <f>data[[#This Row],[factor_name]]</f>
        <v>TLT</v>
      </c>
      <c r="P59" s="4" t="str" cm="1">
        <f t="array" ref="P59">_xlfn.IFS(data[[#This Row],[description_override]]&lt;&gt;"",data[[#This Row],[description_override]],data[[#This Row],[Description_GPT]]&lt;&gt;"",data[[#This Row],[Description_GPT]],data[[#This Row],[Underlying]]&lt;&gt;"",data[[#This Row],[Underlying]],TRUE,"-")</f>
        <v>20+ Year Treasury</v>
      </c>
      <c r="Q59" s="4" t="str">
        <f>_xlfn.XLOOKUP(data[[#This Row],[ticker]],yf_desc[ticker],yf_desc[shortName],"-")</f>
        <v xml:space="preserve">iShares 20+ Year Treasury Bond </v>
      </c>
      <c r="R59" s="4" t="str">
        <f>_xlfn.XLOOKUP(data[[#This Row],[ticker]],yf_desc[ticker],yf_desc[longName],"-")</f>
        <v>iShares 20+ Year Treasury Bond ETF</v>
      </c>
      <c r="S59" s="4" t="str">
        <f>_xlfn.XLOOKUP(data[[#This Row],[ticker]],yf_desc[ticker],yf_desc[longBusinessSummary],"-")</f>
        <v>The fund will invest at least 80% of its assets in the component securities of the underlying index, and it will invest at least 90% of its assets in U.S. Treasury securities that the advisor believes will help the fund track the underlying index. The underlying index measures the performance of public obligations of the U.S. Treasury that have a remaining maturity greater than or equal to twenty years.</v>
      </c>
      <c r="T59" s="4"/>
    </row>
    <row r="60" spans="1:20" x14ac:dyDescent="0.25">
      <c r="A60" s="4" t="s">
        <v>128</v>
      </c>
      <c r="B60" s="4" t="s">
        <v>40</v>
      </c>
      <c r="C60" s="4" t="s">
        <v>135</v>
      </c>
      <c r="D60" s="4" t="s">
        <v>455</v>
      </c>
      <c r="E60" s="4" t="s">
        <v>454</v>
      </c>
      <c r="F60" s="4" cm="1">
        <f t="array" ref="F60">_xlfn.SWITCH(data[[#This Row],[diffusion_type]],"lognormal",0.0001,"normal",-0.01)*IF(data[[#This Row],[asset_class]]="Vol",1,1)</f>
        <v>1E-4</v>
      </c>
      <c r="G60" s="4"/>
      <c r="H60" s="4"/>
      <c r="I60" s="4" t="s">
        <v>136</v>
      </c>
      <c r="J60" s="4" t="s">
        <v>137</v>
      </c>
      <c r="K60" s="4">
        <v>1</v>
      </c>
      <c r="L60" s="4">
        <v>0</v>
      </c>
      <c r="M60" s="4">
        <v>0</v>
      </c>
      <c r="N60" s="4">
        <v>0</v>
      </c>
      <c r="O60" s="4" t="str">
        <f>data[[#This Row],[factor_name]]</f>
        <v>TIP</v>
      </c>
      <c r="P60" s="4" t="str" cm="1">
        <f t="array" ref="P60">_xlfn.IFS(data[[#This Row],[description_override]]&lt;&gt;"",data[[#This Row],[description_override]],data[[#This Row],[Description_GPT]]&lt;&gt;"",data[[#This Row],[Description_GPT]],data[[#This Row],[Underlying]]&lt;&gt;"",data[[#This Row],[Underlying]],TRUE,"-")</f>
        <v>iShares TIPS Bond ETF</v>
      </c>
      <c r="Q60" s="4" t="str">
        <f>_xlfn.XLOOKUP(data[[#This Row],[ticker]],yf_desc[ticker],yf_desc[shortName],"-")</f>
        <v>iShares TIPS Bond ETF</v>
      </c>
      <c r="R60" s="4" t="str">
        <f>_xlfn.XLOOKUP(data[[#This Row],[ticker]],yf_desc[ticker],yf_desc[longName],"-")</f>
        <v>iShares TIPS Bond ETF</v>
      </c>
      <c r="S60" s="4" t="str">
        <f>_xlfn.XLOOKUP(data[[#This Row],[ticker]],yf_desc[ticker],yf_desc[longBusinessSummary],"-")</f>
        <v>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v>
      </c>
      <c r="T60" s="4"/>
    </row>
    <row r="61" spans="1:20" x14ac:dyDescent="0.25">
      <c r="A61" s="4" t="s">
        <v>128</v>
      </c>
      <c r="B61" s="4" t="s">
        <v>40</v>
      </c>
      <c r="C61" s="4" t="s">
        <v>344</v>
      </c>
      <c r="D61" s="4" t="s">
        <v>455</v>
      </c>
      <c r="E61" s="4" t="s">
        <v>454</v>
      </c>
      <c r="F61" s="4" cm="1">
        <f t="array" ref="F61">_xlfn.SWITCH(data[[#This Row],[diffusion_type]],"lognormal",0.0001,"normal",-0.01)*IF(data[[#This Row],[asset_class]]="Vol",1,1)</f>
        <v>1E-4</v>
      </c>
      <c r="G61" s="4"/>
      <c r="H61" s="4"/>
      <c r="I61" s="4"/>
      <c r="J61" s="4" t="s">
        <v>519</v>
      </c>
      <c r="K61" s="4">
        <v>1</v>
      </c>
      <c r="L61" s="4">
        <v>0</v>
      </c>
      <c r="M61" s="4">
        <v>0</v>
      </c>
      <c r="N61" s="4">
        <v>0</v>
      </c>
      <c r="O61" s="4" t="str">
        <f>data[[#This Row],[factor_name]]</f>
        <v>VTIP</v>
      </c>
      <c r="P61" s="4" t="str" cm="1">
        <f t="array" ref="P61">_xlfn.IFS(data[[#This Row],[description_override]]&lt;&gt;"",data[[#This Row],[description_override]],data[[#This Row],[Description_GPT]]&lt;&gt;"",data[[#This Row],[Description_GPT]],data[[#This Row],[Underlying]]&lt;&gt;"",data[[#This Row],[Underlying]],TRUE,"-")</f>
        <v>Short-Term Inflation-Protected Securities ETF</v>
      </c>
      <c r="Q61" s="4" t="str">
        <f>_xlfn.XLOOKUP(data[[#This Row],[ticker]],yf_desc[ticker],yf_desc[shortName],"-")</f>
        <v>Vanguard Short-Term Inflation-P</v>
      </c>
      <c r="R61" s="4" t="str">
        <f>_xlfn.XLOOKUP(data[[#This Row],[ticker]],yf_desc[ticker],yf_desc[longName],"-")</f>
        <v>Vanguard Short-Term Inflation-Protected Securities Index Fund ETF Shares</v>
      </c>
      <c r="S61" s="4" t="str">
        <f>_xlfn.XLOOKUP(data[[#This Row],[ticker]],yf_desc[ticker],yf_desc[longBusinessSummary],"-")</f>
        <v>The index is a market-capitalization-weighted index that includes all inflation-protected public obligations issued by the U.S. Treasury with remaining maturities of less than 5 years.</v>
      </c>
      <c r="T61" s="4"/>
    </row>
    <row r="62" spans="1:20" x14ac:dyDescent="0.25">
      <c r="A62" s="4" t="s">
        <v>128</v>
      </c>
      <c r="B62" s="4" t="s">
        <v>40</v>
      </c>
      <c r="C62" s="4" t="s">
        <v>53</v>
      </c>
      <c r="D62" s="4" t="s">
        <v>455</v>
      </c>
      <c r="E62" s="4" t="s">
        <v>454</v>
      </c>
      <c r="F62" s="4" cm="1">
        <f t="array" ref="F62">_xlfn.SWITCH(data[[#This Row],[diffusion_type]],"lognormal",0.0001,"normal",-0.01)*IF(data[[#This Row],[asset_class]]="Vol",1,1)</f>
        <v>1E-4</v>
      </c>
      <c r="G62" s="4"/>
      <c r="H62" s="4"/>
      <c r="I62" s="4" t="s">
        <v>54</v>
      </c>
      <c r="J62" s="4" t="s">
        <v>105</v>
      </c>
      <c r="K62" s="4">
        <v>0</v>
      </c>
      <c r="L62" s="4">
        <v>0</v>
      </c>
      <c r="M62" s="4">
        <v>0</v>
      </c>
      <c r="N62" s="4">
        <v>0</v>
      </c>
      <c r="O62" s="4" t="str">
        <f>data[[#This Row],[factor_name]]</f>
        <v>MBB</v>
      </c>
      <c r="P62" s="4" t="str" cm="1">
        <f t="array" ref="P62">_xlfn.IFS(data[[#This Row],[description_override]]&lt;&gt;"",data[[#This Row],[description_override]],data[[#This Row],[Description_GPT]]&lt;&gt;"",data[[#This Row],[Description_GPT]],data[[#This Row],[Underlying]]&lt;&gt;"",data[[#This Row],[Underlying]],TRUE,"-")</f>
        <v>iShares MBS ETF</v>
      </c>
      <c r="Q62" s="4" t="str">
        <f>_xlfn.XLOOKUP(data[[#This Row],[ticker]],yf_desc[ticker],yf_desc[shortName],"-")</f>
        <v>iShares MBS ETF</v>
      </c>
      <c r="R62" s="4" t="str">
        <f>_xlfn.XLOOKUP(data[[#This Row],[ticker]],yf_desc[ticker],yf_desc[longName],"-")</f>
        <v>iShares MBS ETF</v>
      </c>
      <c r="S62" s="4" t="str">
        <f>_xlfn.XLOOKUP(data[[#This Row],[ticker]],yf_desc[ticker],yf_desc[longBusinessSummary],"-")</f>
        <v>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v>
      </c>
      <c r="T62" s="4"/>
    </row>
    <row r="63" spans="1:20" x14ac:dyDescent="0.25">
      <c r="A63" s="4" t="s">
        <v>128</v>
      </c>
      <c r="B63" s="4" t="s">
        <v>40</v>
      </c>
      <c r="C63" s="4" t="s">
        <v>14</v>
      </c>
      <c r="D63" s="4" t="s">
        <v>455</v>
      </c>
      <c r="E63" s="4" t="s">
        <v>454</v>
      </c>
      <c r="F63" s="4" cm="1">
        <f t="array" ref="F63">_xlfn.SWITCH(data[[#This Row],[diffusion_type]],"lognormal",0.0001,"normal",-0.01)*IF(data[[#This Row],[asset_class]]="Vol",1,1)</f>
        <v>1E-4</v>
      </c>
      <c r="G63" s="4"/>
      <c r="H63" s="4"/>
      <c r="I63" t="s">
        <v>152</v>
      </c>
      <c r="J63" s="4" t="s">
        <v>153</v>
      </c>
      <c r="K63" s="4">
        <v>0</v>
      </c>
      <c r="L63" s="4">
        <v>0</v>
      </c>
      <c r="M63" s="4">
        <v>0</v>
      </c>
      <c r="N63" s="4">
        <v>0</v>
      </c>
      <c r="O63" s="4" t="str">
        <f>data[[#This Row],[factor_name]]</f>
        <v>MBTA</v>
      </c>
      <c r="P63" s="4" t="str" cm="1">
        <f t="array" ref="P63">_xlfn.IFS(data[[#This Row],[description_override]]&lt;&gt;"",data[[#This Row],[description_override]],data[[#This Row],[Description_GPT]]&lt;&gt;"",data[[#This Row],[Description_GPT]],data[[#This Row],[Underlying]]&lt;&gt;"",data[[#This Row],[Underlying]],TRUE,"-")</f>
        <v>Simplify Mortgage Backed Securities ETF</v>
      </c>
      <c r="Q63" s="4" t="str">
        <f>_xlfn.XLOOKUP(data[[#This Row],[ticker]],yf_desc[ticker],yf_desc[shortName],"-")</f>
        <v>-</v>
      </c>
      <c r="R63" s="4" t="str">
        <f>_xlfn.XLOOKUP(data[[#This Row],[ticker]],yf_desc[ticker],yf_desc[longName],"-")</f>
        <v>-</v>
      </c>
      <c r="S63" s="4" t="str">
        <f>_xlfn.XLOOKUP(data[[#This Row],[ticker]],yf_desc[ticker],yf_desc[longBusinessSummary],"-")</f>
        <v>-</v>
      </c>
      <c r="T63" s="4"/>
    </row>
    <row r="64" spans="1:20" x14ac:dyDescent="0.25">
      <c r="A64" s="4" t="s">
        <v>128</v>
      </c>
      <c r="B64" s="4" t="s">
        <v>40</v>
      </c>
      <c r="C64" s="4" t="s">
        <v>15</v>
      </c>
      <c r="D64" s="4" t="s">
        <v>455</v>
      </c>
      <c r="E64" s="4" t="s">
        <v>454</v>
      </c>
      <c r="F64" s="4" cm="1">
        <f t="array" ref="F64">_xlfn.SWITCH(data[[#This Row],[diffusion_type]],"lognormal",0.0001,"normal",-0.01)*IF(data[[#This Row],[asset_class]]="Vol",1,1)</f>
        <v>1E-4</v>
      </c>
      <c r="G64" s="4"/>
      <c r="H64" s="4"/>
      <c r="I64" s="4" t="s">
        <v>55</v>
      </c>
      <c r="J64" s="4" t="s">
        <v>106</v>
      </c>
      <c r="K64" s="4">
        <v>1</v>
      </c>
      <c r="L64" s="4">
        <v>0</v>
      </c>
      <c r="M64" s="4">
        <v>0</v>
      </c>
      <c r="N64" s="4">
        <v>0</v>
      </c>
      <c r="O64" s="4" t="str">
        <f>data[[#This Row],[factor_name]]</f>
        <v>AGNC</v>
      </c>
      <c r="P64" s="4" t="str" cm="1">
        <f t="array" ref="P64">_xlfn.IFS(data[[#This Row],[description_override]]&lt;&gt;"",data[[#This Row],[description_override]],data[[#This Row],[Description_GPT]]&lt;&gt;"",data[[#This Row],[Description_GPT]],data[[#This Row],[Underlying]]&lt;&gt;"",data[[#This Row],[Underlying]],TRUE,"-")</f>
        <v>AGNC Investment Corp.</v>
      </c>
      <c r="Q64" s="4" t="str">
        <f>_xlfn.XLOOKUP(data[[#This Row],[ticker]],yf_desc[ticker],yf_desc[shortName],"-")</f>
        <v>AGNC Investment Corp.</v>
      </c>
      <c r="R64" s="4" t="str">
        <f>_xlfn.XLOOKUP(data[[#This Row],[ticker]],yf_desc[ticker],yf_desc[longName],"-")</f>
        <v>AGNC Investment Corp.</v>
      </c>
      <c r="S64" s="4" t="str">
        <f>_xlfn.XLOOKUP(data[[#This Row],[ticker]],yf_desc[ticker],yf_desc[longBusinessSummary],"-")</f>
        <v>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v>
      </c>
      <c r="T64" s="4"/>
    </row>
    <row r="65" spans="1:20" x14ac:dyDescent="0.25">
      <c r="A65" s="4" t="s">
        <v>128</v>
      </c>
      <c r="B65" s="4" t="s">
        <v>40</v>
      </c>
      <c r="C65" s="4" t="s">
        <v>346</v>
      </c>
      <c r="D65" s="4" t="s">
        <v>455</v>
      </c>
      <c r="E65" s="4" t="s">
        <v>454</v>
      </c>
      <c r="F65" s="4" cm="1">
        <f t="array" ref="F65">_xlfn.SWITCH(data[[#This Row],[diffusion_type]],"lognormal",0.0001,"normal",-0.01)*IF(data[[#This Row],[asset_class]]="Vol",1,1)</f>
        <v>1E-4</v>
      </c>
      <c r="G65" s="4"/>
      <c r="H65" s="4"/>
      <c r="I65" s="4"/>
      <c r="J65" s="4" t="s">
        <v>520</v>
      </c>
      <c r="K65" s="4">
        <v>1</v>
      </c>
      <c r="L65" s="4">
        <v>0</v>
      </c>
      <c r="M65" s="4">
        <v>0</v>
      </c>
      <c r="N65" s="4">
        <v>0</v>
      </c>
      <c r="O65" s="4" t="str">
        <f>data[[#This Row],[factor_name]]</f>
        <v>VMBS</v>
      </c>
      <c r="P65" s="4" t="str" cm="1">
        <f t="array" ref="P65">_xlfn.IFS(data[[#This Row],[description_override]]&lt;&gt;"",data[[#This Row],[description_override]],data[[#This Row],[Description_GPT]]&lt;&gt;"",data[[#This Row],[Description_GPT]],data[[#This Row],[Underlying]]&lt;&gt;"",data[[#This Row],[Underlying]],TRUE,"-")</f>
        <v>Mortgage-Backed Securities ETF</v>
      </c>
      <c r="Q65" s="4" t="str">
        <f>_xlfn.XLOOKUP(data[[#This Row],[ticker]],yf_desc[ticker],yf_desc[shortName],"-")</f>
        <v>Vanguard Mortgage-Backed Securi</v>
      </c>
      <c r="R65" s="4" t="str">
        <f>_xlfn.XLOOKUP(data[[#This Row],[ticker]],yf_desc[ticker],yf_desc[longName],"-")</f>
        <v>Vanguard Mortgage-Backed Securities Index Fund ETF Shares</v>
      </c>
      <c r="S65" s="4" t="str">
        <f>_xlfn.XLOOKUP(data[[#This Row],[ticker]],yf_desc[ticker],yf_desc[longBusinessSummary],"-")</f>
        <v>The fund employs an indexing investment approach designed to track the performance of the Bloomberg U.S. MBS Float Adjusted Index. This index covers U.S. agency mortgage-backed pass-through securities issued by the GNMA, the FNMA, and the FHLMC. To be included in the index, pool aggregates must have at least $1 billion currently outstanding and a weighted average maturity of at least 1 year. All of the fund's investments will be selected through the sampling process, and at least 80% of the fund's assets will be invested in bonds included in the index.</v>
      </c>
      <c r="T65" s="4"/>
    </row>
    <row r="66" spans="1:20" x14ac:dyDescent="0.25">
      <c r="A66" s="4" t="s">
        <v>128</v>
      </c>
      <c r="B66" s="4" t="s">
        <v>40</v>
      </c>
      <c r="C66" s="4" t="s">
        <v>345</v>
      </c>
      <c r="D66" s="4" t="s">
        <v>455</v>
      </c>
      <c r="E66" s="4" t="s">
        <v>454</v>
      </c>
      <c r="F66" s="4" cm="1">
        <f t="array" ref="F66">_xlfn.SWITCH(data[[#This Row],[diffusion_type]],"lognormal",0.0001,"normal",-0.01)*IF(data[[#This Row],[asset_class]]="Vol",1,1)</f>
        <v>1E-4</v>
      </c>
      <c r="G66" s="4"/>
      <c r="H66" s="4"/>
      <c r="I66" s="4"/>
      <c r="J66" s="4" t="s">
        <v>417</v>
      </c>
      <c r="K66" s="4">
        <v>1</v>
      </c>
      <c r="L66" s="4">
        <v>0</v>
      </c>
      <c r="M66" s="4">
        <v>0</v>
      </c>
      <c r="N66" s="4">
        <v>0</v>
      </c>
      <c r="O66" s="4" t="str">
        <f>data[[#This Row],[factor_name]]</f>
        <v>CMBS</v>
      </c>
      <c r="P66" s="4" t="str" cm="1">
        <f t="array" ref="P66">_xlfn.IFS(data[[#This Row],[description_override]]&lt;&gt;"",data[[#This Row],[description_override]],data[[#This Row],[Description_GPT]]&lt;&gt;"",data[[#This Row],[Description_GPT]],data[[#This Row],[Underlying]]&lt;&gt;"",data[[#This Row],[Underlying]],TRUE,"-")</f>
        <v>iShares CMBS ETF</v>
      </c>
      <c r="Q66" s="4" t="str">
        <f>_xlfn.XLOOKUP(data[[#This Row],[ticker]],yf_desc[ticker],yf_desc[shortName],"-")</f>
        <v>iShares CMBS Bond ETF</v>
      </c>
      <c r="R66" s="4" t="str">
        <f>_xlfn.XLOOKUP(data[[#This Row],[ticker]],yf_desc[ticker],yf_desc[longName],"-")</f>
        <v>iShares CMBS ETF</v>
      </c>
      <c r="S66" s="4" t="str">
        <f>_xlfn.XLOOKUP(data[[#This Row],[ticker]],yf_desc[ticker],yf_desc[longBusinessSummary],"-")</f>
        <v>The index measures the performance of investment-grade commercial mortgage-backed securities ("CMBS"), which are classes of securities (known as "certificates") that represent interests in "pools" of commercial mortgages.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v>
      </c>
      <c r="T66" s="4"/>
    </row>
    <row r="67" spans="1:20" x14ac:dyDescent="0.25">
      <c r="A67" s="4" t="s">
        <v>128</v>
      </c>
      <c r="B67" s="4" t="s">
        <v>74</v>
      </c>
      <c r="C67" s="4" t="s">
        <v>97</v>
      </c>
      <c r="D67" s="4" t="s">
        <v>455</v>
      </c>
      <c r="E67" s="4" t="s">
        <v>454</v>
      </c>
      <c r="F67" s="4" cm="1">
        <f t="array" ref="F67">_xlfn.SWITCH(data[[#This Row],[diffusion_type]],"lognormal",0.0001,"normal",-0.01)*IF(data[[#This Row],[asset_class]]="Vol",1,1)</f>
        <v>1E-4</v>
      </c>
      <c r="G67" s="4"/>
      <c r="H67" s="4"/>
      <c r="I67" s="4" t="s">
        <v>98</v>
      </c>
      <c r="J67" s="4" t="s">
        <v>124</v>
      </c>
      <c r="K67" s="4">
        <v>1</v>
      </c>
      <c r="L67" s="4">
        <v>0</v>
      </c>
      <c r="M67" s="4">
        <v>0</v>
      </c>
      <c r="N67" s="4">
        <v>0</v>
      </c>
      <c r="O67" s="4" t="str">
        <f>data[[#This Row],[factor_name]]</f>
        <v>EMB</v>
      </c>
      <c r="P67" s="4" t="str" cm="1">
        <f t="array" ref="P67">_xlfn.IFS(data[[#This Row],[description_override]]&lt;&gt;"",data[[#This Row],[description_override]],data[[#This Row],[Description_GPT]]&lt;&gt;"",data[[#This Row],[Description_GPT]],data[[#This Row],[Underlying]]&lt;&gt;"",data[[#This Row],[Underlying]],TRUE,"-")</f>
        <v>iShares J.P. Morgan USD Emerging Markets Bond ETF</v>
      </c>
      <c r="Q67" s="4" t="str">
        <f>_xlfn.XLOOKUP(data[[#This Row],[ticker]],yf_desc[ticker],yf_desc[shortName],"-")</f>
        <v>iShares J.P. Morgan USD Emergin</v>
      </c>
      <c r="R67" s="4" t="str">
        <f>_xlfn.XLOOKUP(data[[#This Row],[ticker]],yf_desc[ticker],yf_desc[longName],"-")</f>
        <v>iShares J.P. Morgan USD Emerging Markets Bond ETF</v>
      </c>
      <c r="S67" s="4" t="str">
        <f>_xlfn.XLOOKUP(data[[#This Row],[ticker]],yf_desc[ticker],yf_desc[longBusinessSummary],"-")</f>
        <v>The fund will invest at least 80% of its assets in the component securities of the underlying index and will invest at least 90% of its assets in fixed income securities of the types included in the underlying index. The index is a broad, diverse U.S. dollar-denominated emerging markets debt benchmark that tracks the total return of actively traded external debt instruments in emerging market countries.</v>
      </c>
      <c r="T67" s="4"/>
    </row>
    <row r="68" spans="1:20" x14ac:dyDescent="0.25">
      <c r="A68" s="4" t="s">
        <v>128</v>
      </c>
      <c r="B68" s="4" t="s">
        <v>74</v>
      </c>
      <c r="C68" s="4" t="s">
        <v>349</v>
      </c>
      <c r="D68" s="4" t="s">
        <v>455</v>
      </c>
      <c r="E68" s="4" t="s">
        <v>454</v>
      </c>
      <c r="F68" s="4" cm="1">
        <f t="array" ref="F68">_xlfn.SWITCH(data[[#This Row],[diffusion_type]],"lognormal",0.0001,"normal",-0.01)*IF(data[[#This Row],[asset_class]]="Vol",1,1)</f>
        <v>1E-4</v>
      </c>
      <c r="G68" s="4"/>
      <c r="H68" s="4"/>
      <c r="I68" s="4"/>
      <c r="J68" s="4" t="s">
        <v>521</v>
      </c>
      <c r="K68" s="4">
        <v>0</v>
      </c>
      <c r="L68" s="4">
        <v>0</v>
      </c>
      <c r="M68" s="4">
        <v>0</v>
      </c>
      <c r="N68" s="4">
        <v>0</v>
      </c>
      <c r="O68" s="4" t="str">
        <f>data[[#This Row],[factor_name]]</f>
        <v>EMHY</v>
      </c>
      <c r="P68" s="4" t="str" cm="1">
        <f t="array" ref="P68">_xlfn.IFS(data[[#This Row],[description_override]]&lt;&gt;"",data[[#This Row],[description_override]],data[[#This Row],[Description_GPT]]&lt;&gt;"",data[[#This Row],[Description_GPT]],data[[#This Row],[Underlying]]&lt;&gt;"",data[[#This Row],[Underlying]],TRUE,"-")</f>
        <v>iShares JP Morgan EM High Yield Bond ETF</v>
      </c>
      <c r="Q68" s="4" t="str">
        <f>_xlfn.XLOOKUP(data[[#This Row],[ticker]],yf_desc[ticker],yf_desc[shortName],"-")</f>
        <v>iShares J.P. Morgan EM High Yie</v>
      </c>
      <c r="R68" s="4" t="str">
        <f>_xlfn.XLOOKUP(data[[#This Row],[ticker]],yf_desc[ticker],yf_desc[longName],"-")</f>
        <v>iShares J.P. Morgan EM High Yield Bond ETF</v>
      </c>
      <c r="S68" s="4" t="str">
        <f>_xlfn.XLOOKUP(data[[#This Row],[ticker]],yf_desc[ticker],yf_desc[longBusinessSummary],"-")</f>
        <v>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below investment-grade U.S. dollar-denominated, emerging market fixed and floating-rate debt securities issued by corporate, sovereign, and quasi-sovereign entities.</v>
      </c>
      <c r="T68" s="4"/>
    </row>
    <row r="69" spans="1:20" x14ac:dyDescent="0.25">
      <c r="A69" s="4" t="s">
        <v>128</v>
      </c>
      <c r="B69" t="s">
        <v>74</v>
      </c>
      <c r="C69" t="s">
        <v>75</v>
      </c>
      <c r="D69" s="4" t="s">
        <v>455</v>
      </c>
      <c r="E69" s="4" t="s">
        <v>454</v>
      </c>
      <c r="F69" s="4" cm="1">
        <f t="array" ref="F69">_xlfn.SWITCH(data[[#This Row],[diffusion_type]],"lognormal",0.0001,"normal",-0.01)*IF(data[[#This Row],[asset_class]]="Vol",1,1)</f>
        <v>1E-4</v>
      </c>
      <c r="I69" t="s">
        <v>76</v>
      </c>
      <c r="J69" t="s">
        <v>114</v>
      </c>
      <c r="K69" s="4">
        <v>0</v>
      </c>
      <c r="L69" s="4">
        <v>0</v>
      </c>
      <c r="M69" s="4">
        <v>0</v>
      </c>
      <c r="N69" s="4">
        <v>0</v>
      </c>
      <c r="O69" s="4" t="str">
        <f>data[[#This Row],[factor_name]]</f>
        <v>CEW</v>
      </c>
      <c r="P69" s="4" t="str" cm="1">
        <f t="array" ref="P69">_xlfn.IFS(data[[#This Row],[description_override]]&lt;&gt;"",data[[#This Row],[description_override]],data[[#This Row],[Description_GPT]]&lt;&gt;"",data[[#This Row],[Description_GPT]],data[[#This Row],[Underlying]]&lt;&gt;"",data[[#This Row],[Underlying]],TRUE,"-")</f>
        <v>WisdomTree Emerging Markets Local Debt Fund</v>
      </c>
      <c r="Q69" s="4" t="str">
        <f>_xlfn.XLOOKUP(data[[#This Row],[ticker]],yf_desc[ticker],yf_desc[shortName],"-")</f>
        <v>WisdomTree Emerging Currency St</v>
      </c>
      <c r="R69" s="4" t="str">
        <f>_xlfn.XLOOKUP(data[[#This Row],[ticker]],yf_desc[ticker],yf_desc[longName],"-")</f>
        <v>WisdomTree Emerging Currency Strategy Fund</v>
      </c>
      <c r="S69" s="4" t="str">
        <f>_xlfn.XLOOKUP(data[[#This Row],[ticker]],yf_desc[ticker],yf_desc[longBusinessSummary],"-")</f>
        <v>The fund will invest, under normal circumstances, at least 80% of its net assets, plus the amount of any borrowings for investment purposes, in investments whose combined performance is tied economically to selected emerging market countries. It generally will maintain a weighted average portfolio maturity of 90 days or less with respect to the money market securities in its portfolio. The fund is non-diversified.</v>
      </c>
      <c r="T69" s="4"/>
    </row>
    <row r="70" spans="1:20" x14ac:dyDescent="0.25">
      <c r="A70" s="4" t="s">
        <v>128</v>
      </c>
      <c r="B70" s="4" t="s">
        <v>74</v>
      </c>
      <c r="C70" s="4" t="s">
        <v>99</v>
      </c>
      <c r="D70" s="4" t="s">
        <v>455</v>
      </c>
      <c r="E70" s="4" t="s">
        <v>454</v>
      </c>
      <c r="F70" s="4" cm="1">
        <f t="array" ref="F70">_xlfn.SWITCH(data[[#This Row],[diffusion_type]],"lognormal",0.0001,"normal",-0.01)*IF(data[[#This Row],[asset_class]]="Vol",1,1)</f>
        <v>1E-4</v>
      </c>
      <c r="G70" s="4"/>
      <c r="H70" s="4"/>
      <c r="I70" s="4" t="s">
        <v>100</v>
      </c>
      <c r="J70" s="4" t="s">
        <v>125</v>
      </c>
      <c r="K70" s="4">
        <v>0</v>
      </c>
      <c r="L70" s="4">
        <v>0</v>
      </c>
      <c r="M70" s="4">
        <v>0</v>
      </c>
      <c r="N70" s="4">
        <v>0</v>
      </c>
      <c r="O70" s="4" t="str">
        <f>data[[#This Row],[factor_name]]</f>
        <v>IGOV</v>
      </c>
      <c r="P70" s="4" t="str" cm="1">
        <f t="array" ref="P70">_xlfn.IFS(data[[#This Row],[description_override]]&lt;&gt;"",data[[#This Row],[description_override]],data[[#This Row],[Description_GPT]]&lt;&gt;"",data[[#This Row],[Description_GPT]],data[[#This Row],[Underlying]]&lt;&gt;"",data[[#This Row],[Underlying]],TRUE,"-")</f>
        <v>iShares International Government Bonds ETF</v>
      </c>
      <c r="Q70" s="4" t="str">
        <f>_xlfn.XLOOKUP(data[[#This Row],[ticker]],yf_desc[ticker],yf_desc[shortName],"-")</f>
        <v xml:space="preserve">iShares International Treasury </v>
      </c>
      <c r="R70" s="4" t="str">
        <f>_xlfn.XLOOKUP(data[[#This Row],[ticker]],yf_desc[ticker],yf_desc[longName],"-")</f>
        <v>iShares International Treasury Bond ETF</v>
      </c>
      <c r="S70" s="4" t="str">
        <f>_xlfn.XLOOKUP(data[[#This Row],[ticker]],yf_desc[ticker],yf_desc[longBusinessSummary],"-")</f>
        <v>The fund will invest at least 80% of its assets in the component securities of the underlying index and will invest at least 90% of its assets in fixed income securities of the types included in the underlying index. The underlying index measures the performance of fixed-rate, local currency, investment-grade, sovereign bonds from certain developed markets. The fund is non-diversified.</v>
      </c>
      <c r="T70" s="4"/>
    </row>
    <row r="71" spans="1:20" x14ac:dyDescent="0.25">
      <c r="A71" s="4" t="s">
        <v>56</v>
      </c>
      <c r="B71" s="4" t="s">
        <v>40</v>
      </c>
      <c r="C71" s="4" t="s">
        <v>57</v>
      </c>
      <c r="D71" s="4" t="s">
        <v>455</v>
      </c>
      <c r="E71" s="4" t="s">
        <v>454</v>
      </c>
      <c r="F71" s="4" cm="1">
        <f t="array" ref="F71">_xlfn.SWITCH(data[[#This Row],[diffusion_type]],"lognormal",0.0001,"normal",-0.01)*IF(data[[#This Row],[asset_class]]="Vol",1,1)</f>
        <v>1E-4</v>
      </c>
      <c r="G71" s="4" t="s">
        <v>263</v>
      </c>
      <c r="H71" s="4"/>
      <c r="I71" s="4" t="s">
        <v>58</v>
      </c>
      <c r="J71" s="4" t="s">
        <v>107</v>
      </c>
      <c r="K71" s="4">
        <v>1</v>
      </c>
      <c r="L71" s="4">
        <v>0</v>
      </c>
      <c r="M71" s="4">
        <v>0</v>
      </c>
      <c r="N71" s="4">
        <v>0</v>
      </c>
      <c r="O71" s="4" t="str">
        <f>data[[#This Row],[factor_name]]</f>
        <v>GLD</v>
      </c>
      <c r="P71" s="4" t="str" cm="1">
        <f t="array" ref="P71">_xlfn.IFS(data[[#This Row],[description_override]]&lt;&gt;"",data[[#This Row],[description_override]],data[[#This Row],[Description_GPT]]&lt;&gt;"",data[[#This Row],[Description_GPT]],data[[#This Row],[Underlying]]&lt;&gt;"",data[[#This Row],[Underlying]],TRUE,"-")</f>
        <v>SPDR Gold Shares</v>
      </c>
      <c r="Q71" s="4" t="str">
        <f>_xlfn.XLOOKUP(data[[#This Row],[ticker]],yf_desc[ticker],yf_desc[shortName],"-")</f>
        <v>SPDR Gold Trust</v>
      </c>
      <c r="R71" s="4" t="str">
        <f>_xlfn.XLOOKUP(data[[#This Row],[ticker]],yf_desc[ticker],yf_desc[longName],"-")</f>
        <v>SPDR Gold Shares</v>
      </c>
      <c r="S71" s="4" t="str">
        <f>_xlfn.XLOOKUP(data[[#This Row],[ticker]],yf_desc[ticker],yf_desc[longBusinessSummary],"-")</f>
        <v>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v>
      </c>
      <c r="T71" s="4"/>
    </row>
    <row r="72" spans="1:20" x14ac:dyDescent="0.25">
      <c r="A72" s="4" t="s">
        <v>56</v>
      </c>
      <c r="B72" s="4" t="s">
        <v>40</v>
      </c>
      <c r="C72" s="4" t="s">
        <v>59</v>
      </c>
      <c r="D72" s="4" t="s">
        <v>455</v>
      </c>
      <c r="E72" s="4" t="s">
        <v>454</v>
      </c>
      <c r="F72" s="4" cm="1">
        <f t="array" ref="F72">_xlfn.SWITCH(data[[#This Row],[diffusion_type]],"lognormal",0.0001,"normal",-0.01)*IF(data[[#This Row],[asset_class]]="Vol",1,1)</f>
        <v>1E-4</v>
      </c>
      <c r="G72" s="4" t="s">
        <v>703</v>
      </c>
      <c r="H72" s="4"/>
      <c r="I72" s="4" t="s">
        <v>60</v>
      </c>
      <c r="J72" s="4" t="s">
        <v>108</v>
      </c>
      <c r="K72" s="4">
        <v>1</v>
      </c>
      <c r="L72" s="4">
        <v>0</v>
      </c>
      <c r="M72" s="4">
        <v>0</v>
      </c>
      <c r="N72" s="4">
        <v>0</v>
      </c>
      <c r="O72" s="4" t="str">
        <f>data[[#This Row],[factor_name]]</f>
        <v>SLV</v>
      </c>
      <c r="P72" s="4" t="str" cm="1">
        <f t="array" ref="P72">_xlfn.IFS(data[[#This Row],[description_override]]&lt;&gt;"",data[[#This Row],[description_override]],data[[#This Row],[Description_GPT]]&lt;&gt;"",data[[#This Row],[Description_GPT]],data[[#This Row],[Underlying]]&lt;&gt;"",data[[#This Row],[Underlying]],TRUE,"-")</f>
        <v>iShares Silver Trust</v>
      </c>
      <c r="Q72" s="4" t="str">
        <f>_xlfn.XLOOKUP(data[[#This Row],[ticker]],yf_desc[ticker],yf_desc[shortName],"-")</f>
        <v>iShares Silver Trust</v>
      </c>
      <c r="R72" s="4" t="str">
        <f>_xlfn.XLOOKUP(data[[#This Row],[ticker]],yf_desc[ticker],yf_desc[longName],"-")</f>
        <v>iShares Silver Trust</v>
      </c>
      <c r="S72" s="4" t="str">
        <f>_xlfn.XLOOKUP(data[[#This Row],[ticker]],yf_desc[ticker],yf_desc[longBusinessSummary],"-")</f>
        <v>The Trust seeks to reflect such performance before payment of the Trust's expenses and liabilities. It is not actively managed. The Trust does not engage in any activities designed to obtain a profit from, or to ameliorate losses caused by, changes in the price of silver.</v>
      </c>
      <c r="T72" s="4"/>
    </row>
    <row r="73" spans="1:20" x14ac:dyDescent="0.25">
      <c r="A73" s="4" t="s">
        <v>56</v>
      </c>
      <c r="B73" s="4" t="s">
        <v>40</v>
      </c>
      <c r="C73" s="4" t="s">
        <v>61</v>
      </c>
      <c r="D73" s="4" t="s">
        <v>455</v>
      </c>
      <c r="E73" s="4" t="s">
        <v>454</v>
      </c>
      <c r="F73" s="4" cm="1">
        <f t="array" ref="F73">_xlfn.SWITCH(data[[#This Row],[diffusion_type]],"lognormal",0.0001,"normal",-0.01)*IF(data[[#This Row],[asset_class]]="Vol",1,1)</f>
        <v>1E-4</v>
      </c>
      <c r="G73" s="4" t="s">
        <v>704</v>
      </c>
      <c r="H73" s="4"/>
      <c r="I73" s="4" t="s">
        <v>62</v>
      </c>
      <c r="J73" s="4" t="s">
        <v>109</v>
      </c>
      <c r="K73" s="4">
        <v>1</v>
      </c>
      <c r="L73" s="4">
        <v>0</v>
      </c>
      <c r="M73" s="4">
        <v>0</v>
      </c>
      <c r="N73" s="4">
        <v>0</v>
      </c>
      <c r="O73" s="4" t="str">
        <f>data[[#This Row],[factor_name]]</f>
        <v>USO</v>
      </c>
      <c r="P73" s="4" t="str" cm="1">
        <f t="array" ref="P73">_xlfn.IFS(data[[#This Row],[description_override]]&lt;&gt;"",data[[#This Row],[description_override]],data[[#This Row],[Description_GPT]]&lt;&gt;"",data[[#This Row],[Description_GPT]],data[[#This Row],[Underlying]]&lt;&gt;"",data[[#This Row],[Underlying]],TRUE,"-")</f>
        <v>United States Oil Fund</v>
      </c>
      <c r="Q73" s="4" t="str">
        <f>_xlfn.XLOOKUP(data[[#This Row],[ticker]],yf_desc[ticker],yf_desc[shortName],"-")</f>
        <v>United States Oil Fund</v>
      </c>
      <c r="R73" s="4" t="str">
        <f>_xlfn.XLOOKUP(data[[#This Row],[ticker]],yf_desc[ticker],yf_desc[longName],"-")</f>
        <v>United States Oil Fund, LP</v>
      </c>
      <c r="S73" s="4" t="str">
        <f>_xlfn.XLOOKUP(data[[#This Row],[ticker]],yf_desc[ticker],yf_desc[longBusinessSummary],"-")</f>
        <v>USO invests primarily in futures contracts for light, sweet crude oil, other types of crude oil, diesel-heating oil, gasoline, natural gas, and other petroleum-based fuels.</v>
      </c>
      <c r="T73" s="4"/>
    </row>
    <row r="74" spans="1:20" x14ac:dyDescent="0.25">
      <c r="A74" s="4" t="s">
        <v>56</v>
      </c>
      <c r="B74" s="4" t="s">
        <v>40</v>
      </c>
      <c r="C74" s="4" t="s">
        <v>698</v>
      </c>
      <c r="D74" s="4" t="s">
        <v>455</v>
      </c>
      <c r="E74" s="4" t="s">
        <v>454</v>
      </c>
      <c r="F74" s="4" cm="1">
        <f t="array" ref="F74">_xlfn.SWITCH(data[[#This Row],[diffusion_type]],"lognormal",0.0001,"normal",-0.01)*IF(data[[#This Row],[asset_class]]="Vol",1,1)</f>
        <v>1E-4</v>
      </c>
      <c r="G74" s="4" t="s">
        <v>705</v>
      </c>
      <c r="H74" s="4"/>
      <c r="I74" s="4"/>
      <c r="J74" s="4"/>
      <c r="K74" s="4"/>
      <c r="L74" s="4"/>
      <c r="M74" s="4"/>
      <c r="N74" s="4"/>
      <c r="O74" s="4" t="str">
        <f>data[[#This Row],[factor_name]]</f>
        <v>DBA</v>
      </c>
      <c r="P74" s="4" t="str" cm="1">
        <f t="array" ref="P74">_xlfn.IFS(data[[#This Row],[description_override]]&lt;&gt;"",data[[#This Row],[description_override]],data[[#This Row],[Description_GPT]]&lt;&gt;"",data[[#This Row],[Description_GPT]],data[[#This Row],[Underlying]]&lt;&gt;"",data[[#This Row],[Underlying]],TRUE,"-")</f>
        <v>-</v>
      </c>
      <c r="Q74" s="4" t="str">
        <f>_xlfn.XLOOKUP(data[[#This Row],[ticker]],yf_desc[ticker],yf_desc[shortName],"-")</f>
        <v>-</v>
      </c>
      <c r="R74" s="4" t="str">
        <f>_xlfn.XLOOKUP(data[[#This Row],[ticker]],yf_desc[ticker],yf_desc[longName],"-")</f>
        <v>-</v>
      </c>
      <c r="S74" s="4" t="str">
        <f>_xlfn.XLOOKUP(data[[#This Row],[ticker]],yf_desc[ticker],yf_desc[longBusinessSummary],"-")</f>
        <v>-</v>
      </c>
      <c r="T74" s="4"/>
    </row>
    <row r="75" spans="1:20" x14ac:dyDescent="0.25">
      <c r="A75" s="4" t="s">
        <v>56</v>
      </c>
      <c r="B75" s="4" t="s">
        <v>40</v>
      </c>
      <c r="C75" s="4" t="s">
        <v>699</v>
      </c>
      <c r="D75" s="4" t="s">
        <v>455</v>
      </c>
      <c r="E75" s="4" t="s">
        <v>454</v>
      </c>
      <c r="F75" s="4" cm="1">
        <f t="array" ref="F75">_xlfn.SWITCH(data[[#This Row],[diffusion_type]],"lognormal",0.0001,"normal",-0.01)*IF(data[[#This Row],[asset_class]]="Vol",1,1)</f>
        <v>1E-4</v>
      </c>
      <c r="G75" s="4" t="s">
        <v>709</v>
      </c>
      <c r="H75" s="4"/>
      <c r="I75" s="4"/>
      <c r="J75" s="4"/>
      <c r="K75" s="4"/>
      <c r="L75" s="4"/>
      <c r="M75" s="4"/>
      <c r="N75" s="4"/>
      <c r="O75" s="4" t="str">
        <f>data[[#This Row],[factor_name]]</f>
        <v>DBB</v>
      </c>
      <c r="P75" s="4" t="str" cm="1">
        <f t="array" ref="P75">_xlfn.IFS(data[[#This Row],[description_override]]&lt;&gt;"",data[[#This Row],[description_override]],data[[#This Row],[Description_GPT]]&lt;&gt;"",data[[#This Row],[Description_GPT]],data[[#This Row],[Underlying]]&lt;&gt;"",data[[#This Row],[Underlying]],TRUE,"-")</f>
        <v>-</v>
      </c>
      <c r="Q75" s="4" t="str">
        <f>_xlfn.XLOOKUP(data[[#This Row],[ticker]],yf_desc[ticker],yf_desc[shortName],"-")</f>
        <v>-</v>
      </c>
      <c r="R75" s="4" t="str">
        <f>_xlfn.XLOOKUP(data[[#This Row],[ticker]],yf_desc[ticker],yf_desc[longName],"-")</f>
        <v>-</v>
      </c>
      <c r="S75" s="4" t="str">
        <f>_xlfn.XLOOKUP(data[[#This Row],[ticker]],yf_desc[ticker],yf_desc[longBusinessSummary],"-")</f>
        <v>-</v>
      </c>
      <c r="T75" s="4"/>
    </row>
    <row r="76" spans="1:20" x14ac:dyDescent="0.25">
      <c r="A76" s="4" t="s">
        <v>56</v>
      </c>
      <c r="B76" s="4" t="s">
        <v>40</v>
      </c>
      <c r="C76" s="4" t="s">
        <v>63</v>
      </c>
      <c r="D76" s="4" t="s">
        <v>455</v>
      </c>
      <c r="E76" s="4" t="s">
        <v>454</v>
      </c>
      <c r="F76" s="4" cm="1">
        <f t="array" ref="F76">_xlfn.SWITCH(data[[#This Row],[diffusion_type]],"lognormal",0.0001,"normal",-0.01)*IF(data[[#This Row],[asset_class]]="Vol",1,1)</f>
        <v>1E-4</v>
      </c>
      <c r="G76" s="4" t="s">
        <v>706</v>
      </c>
      <c r="H76" s="4"/>
      <c r="I76" s="4" t="s">
        <v>64</v>
      </c>
      <c r="J76" s="4" t="s">
        <v>110</v>
      </c>
      <c r="K76" s="4">
        <v>0</v>
      </c>
      <c r="L76" s="4">
        <v>0</v>
      </c>
      <c r="M76" s="4">
        <v>0</v>
      </c>
      <c r="N76" s="4">
        <v>0</v>
      </c>
      <c r="O76" s="4" t="str">
        <f>data[[#This Row],[factor_name]]</f>
        <v>DBC</v>
      </c>
      <c r="P76" s="4" t="str" cm="1">
        <f t="array" ref="P76">_xlfn.IFS(data[[#This Row],[description_override]]&lt;&gt;"",data[[#This Row],[description_override]],data[[#This Row],[Description_GPT]]&lt;&gt;"",data[[#This Row],[Description_GPT]],data[[#This Row],[Underlying]]&lt;&gt;"",data[[#This Row],[Underlying]],TRUE,"-")</f>
        <v>Invesco DB Commodity Index Tracking Fund</v>
      </c>
      <c r="Q76" s="4" t="str">
        <f>_xlfn.XLOOKUP(data[[#This Row],[ticker]],yf_desc[ticker],yf_desc[shortName],"-")</f>
        <v>Invesco DB Commodity Index Trac</v>
      </c>
      <c r="R76" s="4" t="str">
        <f>_xlfn.XLOOKUP(data[[#This Row],[ticker]],yf_desc[ticker],yf_desc[longName],"-")</f>
        <v>Invesco DB Commodity Index Tracking Fund</v>
      </c>
      <c r="S76" s="4" t="str">
        <f>_xlfn.XLOOKUP(data[[#This Row],[ticker]],yf_desc[ticker],yf_desc[longBusinessSummary],"-")</f>
        <v>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v>
      </c>
      <c r="T76" s="4"/>
    </row>
    <row r="77" spans="1:20" x14ac:dyDescent="0.25">
      <c r="A77" s="4" t="s">
        <v>56</v>
      </c>
      <c r="B77" s="4" t="s">
        <v>40</v>
      </c>
      <c r="C77" s="4" t="s">
        <v>700</v>
      </c>
      <c r="D77" s="4" t="s">
        <v>455</v>
      </c>
      <c r="E77" s="4" t="s">
        <v>454</v>
      </c>
      <c r="F77" s="4" cm="1">
        <f t="array" ref="F77">_xlfn.SWITCH(data[[#This Row],[diffusion_type]],"lognormal",0.0001,"normal",-0.01)*IF(data[[#This Row],[asset_class]]="Vol",1,1)</f>
        <v>1E-4</v>
      </c>
      <c r="G77" s="4" t="s">
        <v>707</v>
      </c>
      <c r="H77" s="4"/>
      <c r="I77" s="4"/>
      <c r="J77" s="4"/>
      <c r="K77" s="4"/>
      <c r="L77" s="4"/>
      <c r="M77" s="4"/>
      <c r="N77" s="4"/>
      <c r="O77" s="4" t="str">
        <f>data[[#This Row],[factor_name]]</f>
        <v>DBE</v>
      </c>
      <c r="P77" s="4" t="str" cm="1">
        <f t="array" ref="P77">_xlfn.IFS(data[[#This Row],[description_override]]&lt;&gt;"",data[[#This Row],[description_override]],data[[#This Row],[Description_GPT]]&lt;&gt;"",data[[#This Row],[Description_GPT]],data[[#This Row],[Underlying]]&lt;&gt;"",data[[#This Row],[Underlying]],TRUE,"-")</f>
        <v>-</v>
      </c>
      <c r="Q77" s="4" t="str">
        <f>_xlfn.XLOOKUP(data[[#This Row],[ticker]],yf_desc[ticker],yf_desc[shortName],"-")</f>
        <v>-</v>
      </c>
      <c r="R77" s="4" t="str">
        <f>_xlfn.XLOOKUP(data[[#This Row],[ticker]],yf_desc[ticker],yf_desc[longName],"-")</f>
        <v>-</v>
      </c>
      <c r="S77" s="4" t="str">
        <f>_xlfn.XLOOKUP(data[[#This Row],[ticker]],yf_desc[ticker],yf_desc[longBusinessSummary],"-")</f>
        <v>-</v>
      </c>
      <c r="T77" s="4"/>
    </row>
    <row r="78" spans="1:20" x14ac:dyDescent="0.25">
      <c r="A78" s="4" t="s">
        <v>56</v>
      </c>
      <c r="B78" s="4" t="s">
        <v>40</v>
      </c>
      <c r="C78" s="4" t="s">
        <v>701</v>
      </c>
      <c r="D78" s="4" t="s">
        <v>455</v>
      </c>
      <c r="E78" s="4" t="s">
        <v>454</v>
      </c>
      <c r="F78" s="4" cm="1">
        <f t="array" ref="F78">_xlfn.SWITCH(data[[#This Row],[diffusion_type]],"lognormal",0.0001,"normal",-0.01)*IF(data[[#This Row],[asset_class]]="Vol",1,1)</f>
        <v>1E-4</v>
      </c>
      <c r="G78" s="4" t="s">
        <v>704</v>
      </c>
      <c r="H78" s="4"/>
      <c r="I78" s="4"/>
      <c r="J78" s="4"/>
      <c r="K78" s="4"/>
      <c r="L78" s="4"/>
      <c r="M78" s="4"/>
      <c r="N78" s="4"/>
      <c r="O78" s="4" t="str">
        <f>data[[#This Row],[factor_name]]</f>
        <v>DBO</v>
      </c>
      <c r="P78" s="4" t="str" cm="1">
        <f t="array" ref="P78">_xlfn.IFS(data[[#This Row],[description_override]]&lt;&gt;"",data[[#This Row],[description_override]],data[[#This Row],[Description_GPT]]&lt;&gt;"",data[[#This Row],[Description_GPT]],data[[#This Row],[Underlying]]&lt;&gt;"",data[[#This Row],[Underlying]],TRUE,"-")</f>
        <v>-</v>
      </c>
      <c r="Q78" s="4" t="str">
        <f>_xlfn.XLOOKUP(data[[#This Row],[ticker]],yf_desc[ticker],yf_desc[shortName],"-")</f>
        <v>-</v>
      </c>
      <c r="R78" s="4" t="str">
        <f>_xlfn.XLOOKUP(data[[#This Row],[ticker]],yf_desc[ticker],yf_desc[longName],"-")</f>
        <v>-</v>
      </c>
      <c r="S78" s="4" t="str">
        <f>_xlfn.XLOOKUP(data[[#This Row],[ticker]],yf_desc[ticker],yf_desc[longBusinessSummary],"-")</f>
        <v>-</v>
      </c>
      <c r="T78" s="4"/>
    </row>
    <row r="79" spans="1:20" x14ac:dyDescent="0.25">
      <c r="A79" s="4" t="s">
        <v>56</v>
      </c>
      <c r="B79" s="4" t="s">
        <v>40</v>
      </c>
      <c r="C79" s="4" t="s">
        <v>702</v>
      </c>
      <c r="D79" s="4" t="s">
        <v>455</v>
      </c>
      <c r="E79" s="4" t="s">
        <v>454</v>
      </c>
      <c r="F79" s="4" cm="1">
        <f t="array" ref="F79">_xlfn.SWITCH(data[[#This Row],[diffusion_type]],"lognormal",0.0001,"normal",-0.01)*IF(data[[#This Row],[asset_class]]="Vol",1,1)</f>
        <v>1E-4</v>
      </c>
      <c r="G79" s="4" t="s">
        <v>708</v>
      </c>
      <c r="H79" s="4"/>
      <c r="I79" s="4"/>
      <c r="J79" s="4"/>
      <c r="K79" s="4"/>
      <c r="L79" s="4"/>
      <c r="M79" s="4"/>
      <c r="N79" s="4"/>
      <c r="O79" s="4" t="str">
        <f>data[[#This Row],[factor_name]]</f>
        <v>DBP</v>
      </c>
      <c r="P79" s="4" t="str" cm="1">
        <f t="array" ref="P79">_xlfn.IFS(data[[#This Row],[description_override]]&lt;&gt;"",data[[#This Row],[description_override]],data[[#This Row],[Description_GPT]]&lt;&gt;"",data[[#This Row],[Description_GPT]],data[[#This Row],[Underlying]]&lt;&gt;"",data[[#This Row],[Underlying]],TRUE,"-")</f>
        <v>-</v>
      </c>
      <c r="Q79" s="4" t="str">
        <f>_xlfn.XLOOKUP(data[[#This Row],[ticker]],yf_desc[ticker],yf_desc[shortName],"-")</f>
        <v>-</v>
      </c>
      <c r="R79" s="4" t="str">
        <f>_xlfn.XLOOKUP(data[[#This Row],[ticker]],yf_desc[ticker],yf_desc[longName],"-")</f>
        <v>-</v>
      </c>
      <c r="S79" s="4" t="str">
        <f>_xlfn.XLOOKUP(data[[#This Row],[ticker]],yf_desc[ticker],yf_desc[longBusinessSummary],"-")</f>
        <v>-</v>
      </c>
      <c r="T79" s="4"/>
    </row>
    <row r="80" spans="1:20" x14ac:dyDescent="0.25">
      <c r="A80" s="4" t="s">
        <v>65</v>
      </c>
      <c r="B80" s="4" t="s">
        <v>40</v>
      </c>
      <c r="C80" s="4" t="s">
        <v>66</v>
      </c>
      <c r="D80" s="4" t="s">
        <v>455</v>
      </c>
      <c r="E80" s="4" t="s">
        <v>454</v>
      </c>
      <c r="F80" s="4" cm="1">
        <f t="array" ref="F80">_xlfn.SWITCH(data[[#This Row],[diffusion_type]],"lognormal",0.0001,"normal",-0.01)*IF(data[[#This Row],[asset_class]]="Vol",1,1)</f>
        <v>1E-4</v>
      </c>
      <c r="G80" s="4"/>
      <c r="H80" s="4"/>
      <c r="I80" s="4" t="s">
        <v>67</v>
      </c>
      <c r="J80" s="4" t="s">
        <v>111</v>
      </c>
      <c r="K80" s="4">
        <v>1</v>
      </c>
      <c r="L80" s="4">
        <v>0</v>
      </c>
      <c r="M80" s="4">
        <v>0</v>
      </c>
      <c r="N80" s="4">
        <v>0</v>
      </c>
      <c r="O80" s="4" t="str">
        <f>data[[#This Row],[factor_name]]</f>
        <v>UUP</v>
      </c>
      <c r="P80" s="4" t="str" cm="1">
        <f t="array" ref="P80">_xlfn.IFS(data[[#This Row],[description_override]]&lt;&gt;"",data[[#This Row],[description_override]],data[[#This Row],[Description_GPT]]&lt;&gt;"",data[[#This Row],[Description_GPT]],data[[#This Row],[Underlying]]&lt;&gt;"",data[[#This Row],[Underlying]],TRUE,"-")</f>
        <v>Invesco DB US Dollar Index Bullish Fund</v>
      </c>
      <c r="Q80" s="4" t="str">
        <f>_xlfn.XLOOKUP(data[[#This Row],[ticker]],yf_desc[ticker],yf_desc[shortName],"-")</f>
        <v>Invesco DB USD Index Bullish Fu</v>
      </c>
      <c r="R80" s="4" t="str">
        <f>_xlfn.XLOOKUP(data[[#This Row],[ticker]],yf_desc[ticker],yf_desc[longName],"-")</f>
        <v>Invesco DB US Dollar Index Bullish Fund</v>
      </c>
      <c r="S80" s="4" t="str">
        <f>_xlfn.XLOOKUP(data[[#This Row],[ticker]],yf_desc[ticker],yf_desc[longBusinessSummary],"-")</f>
        <v>The fund invests in futures contracts in an attempt to track its index. The index is calculated to reflect the changes in market value over time, whether positive or negative, of long positions in DX Contracts.</v>
      </c>
      <c r="T80" s="4"/>
    </row>
    <row r="81" spans="1:24" x14ac:dyDescent="0.25">
      <c r="A81" s="4" t="s">
        <v>65</v>
      </c>
      <c r="B81" s="4" t="s">
        <v>40</v>
      </c>
      <c r="C81" s="4" t="s">
        <v>491</v>
      </c>
      <c r="D81" s="4" t="s">
        <v>455</v>
      </c>
      <c r="E81" s="4" t="s">
        <v>454</v>
      </c>
      <c r="F81" s="4" cm="1">
        <f t="array" ref="F81">_xlfn.SWITCH(data[[#This Row],[diffusion_type]],"lognormal",0.0001,"normal",-0.01)*IF(data[[#This Row],[asset_class]]="Vol",1,1)</f>
        <v>1E-4</v>
      </c>
      <c r="G81" s="4" t="s">
        <v>492</v>
      </c>
      <c r="H81" s="4"/>
      <c r="I81" s="4"/>
      <c r="J81" s="4" t="s">
        <v>111</v>
      </c>
      <c r="K81" s="4">
        <v>1</v>
      </c>
      <c r="L81" s="4">
        <v>0</v>
      </c>
      <c r="M81" s="4">
        <v>0</v>
      </c>
      <c r="N81" s="4">
        <v>0</v>
      </c>
      <c r="O81" s="4" t="str">
        <f>data[[#This Row],[factor_name]]</f>
        <v>DX-Y.NYB</v>
      </c>
      <c r="P81" s="4" t="str" cm="1">
        <f t="array" ref="P81">_xlfn.IFS(data[[#This Row],[description_override]]&lt;&gt;"",data[[#This Row],[description_override]],data[[#This Row],[Description_GPT]]&lt;&gt;"",data[[#This Row],[Description_GPT]],data[[#This Row],[Underlying]]&lt;&gt;"",data[[#This Row],[Underlying]],TRUE,"-")</f>
        <v>U.S. Dollar Index</v>
      </c>
      <c r="Q81" s="4" t="str">
        <f>_xlfn.XLOOKUP(data[[#This Row],[ticker]],yf_desc[ticker],yf_desc[shortName],"-")</f>
        <v>ICE US Dollar Index - Index - C</v>
      </c>
      <c r="R81" s="4" t="str">
        <f>_xlfn.XLOOKUP(data[[#This Row],[ticker]],yf_desc[ticker],yf_desc[longName],"-")</f>
        <v>US Dollar Index</v>
      </c>
      <c r="S81" s="4">
        <f>_xlfn.XLOOKUP(data[[#This Row],[ticker]],yf_desc[ticker],yf_desc[longBusinessSummary],"-")</f>
        <v>0</v>
      </c>
      <c r="T81" s="4"/>
    </row>
    <row r="82" spans="1:24" x14ac:dyDescent="0.25">
      <c r="A82" s="4" t="s">
        <v>65</v>
      </c>
      <c r="B82" s="4" t="s">
        <v>68</v>
      </c>
      <c r="C82" s="4" t="s">
        <v>69</v>
      </c>
      <c r="D82" s="4" t="s">
        <v>455</v>
      </c>
      <c r="E82" s="4" t="s">
        <v>454</v>
      </c>
      <c r="F82" s="4" cm="1">
        <f t="array" ref="F82">_xlfn.SWITCH(data[[#This Row],[diffusion_type]],"lognormal",0.0001,"normal",-0.01)*IF(data[[#This Row],[asset_class]]="Vol",1,1)</f>
        <v>1E-4</v>
      </c>
      <c r="G82" s="4" t="s">
        <v>297</v>
      </c>
      <c r="H82" s="4"/>
      <c r="I82" s="4" t="s">
        <v>70</v>
      </c>
      <c r="J82" s="4" t="s">
        <v>112</v>
      </c>
      <c r="K82" s="4">
        <v>1</v>
      </c>
      <c r="L82" s="4">
        <v>0</v>
      </c>
      <c r="M82" s="4">
        <v>0</v>
      </c>
      <c r="N82" s="4">
        <v>0</v>
      </c>
      <c r="O82" s="4" t="str">
        <f>data[[#This Row],[factor_name]]</f>
        <v>FXE</v>
      </c>
      <c r="P82" s="4" t="str" cm="1">
        <f t="array" ref="P82">_xlfn.IFS(data[[#This Row],[description_override]]&lt;&gt;"",data[[#This Row],[description_override]],data[[#This Row],[Description_GPT]]&lt;&gt;"",data[[#This Row],[Description_GPT]],data[[#This Row],[Underlying]]&lt;&gt;"",data[[#This Row],[Underlying]],TRUE,"-")</f>
        <v>Invesco CurrencyShares Euro Trust</v>
      </c>
      <c r="Q82" s="4" t="str">
        <f>_xlfn.XLOOKUP(data[[#This Row],[ticker]],yf_desc[ticker],yf_desc[shortName],"-")</f>
        <v>Invesco CurrencyShares Euro Cur</v>
      </c>
      <c r="R82" s="4" t="str">
        <f>_xlfn.XLOOKUP(data[[#This Row],[ticker]],yf_desc[ticker],yf_desc[longName],"-")</f>
        <v>Invesco CurrencyShares Euro Currency Trust</v>
      </c>
      <c r="S82" s="4">
        <f>_xlfn.XLOOKUP(data[[#This Row],[ticker]],yf_desc[ticker],yf_desc[longBusinessSummary],"-")</f>
        <v>0</v>
      </c>
      <c r="T82" s="4"/>
    </row>
    <row r="83" spans="1:24" x14ac:dyDescent="0.25">
      <c r="A83" t="s">
        <v>65</v>
      </c>
      <c r="B83" t="s">
        <v>68</v>
      </c>
      <c r="C83" t="s">
        <v>497</v>
      </c>
      <c r="D83" s="4" t="s">
        <v>455</v>
      </c>
      <c r="E83" s="4" t="s">
        <v>454</v>
      </c>
      <c r="F83" s="4" cm="1">
        <f t="array" ref="F83">_xlfn.SWITCH(data[[#This Row],[diffusion_type]],"lognormal",0.0001,"normal",-0.01)*IF(data[[#This Row],[asset_class]]="Vol",1,1)</f>
        <v>1E-4</v>
      </c>
      <c r="G83" t="s">
        <v>524</v>
      </c>
      <c r="I83" t="s">
        <v>498</v>
      </c>
      <c r="J83" t="s">
        <v>499</v>
      </c>
      <c r="K83" s="4">
        <v>1</v>
      </c>
      <c r="L83" s="4">
        <v>0</v>
      </c>
      <c r="M83" s="4">
        <v>0</v>
      </c>
      <c r="N83" s="4">
        <v>0</v>
      </c>
      <c r="O83" s="4" t="str">
        <f>data[[#This Row],[factor_name]]</f>
        <v>FXF</v>
      </c>
      <c r="P83" s="4" t="str" cm="1">
        <f t="array" ref="P83">_xlfn.IFS(data[[#This Row],[description_override]]&lt;&gt;"",data[[#This Row],[description_override]],data[[#This Row],[Description_GPT]]&lt;&gt;"",data[[#This Row],[Description_GPT]],data[[#This Row],[Underlying]]&lt;&gt;"",data[[#This Row],[Underlying]],TRUE,"-")</f>
        <v>Invesco CurrencyShares Swiss Franc Trust</v>
      </c>
      <c r="Q83" s="4" t="str">
        <f>_xlfn.XLOOKUP(data[[#This Row],[ticker]],yf_desc[ticker],yf_desc[shortName],"-")</f>
        <v>Invesco CurrencyShares Swiss Fr</v>
      </c>
      <c r="R83" s="4" t="str">
        <f>_xlfn.XLOOKUP(data[[#This Row],[ticker]],yf_desc[ticker],yf_desc[longName],"-")</f>
        <v>Invesco CurrencyShares Swiss Franc Trust</v>
      </c>
      <c r="S83" s="4" t="str">
        <f>_xlfn.XLOOKUP(data[[#This Row],[ticker]],yf_desc[ticker],yf_desc[longBusinessSummary],"-")</f>
        <v>The fund seeks to reflect the price of the Swiss Franc. The sponsor believes that, for many investors, the shares represent a cost-effective investment relative to traditional means of investing in the foreign exchange market.</v>
      </c>
      <c r="T83" s="4"/>
    </row>
    <row r="84" spans="1:24" x14ac:dyDescent="0.25">
      <c r="A84" t="s">
        <v>65</v>
      </c>
      <c r="B84" t="s">
        <v>690</v>
      </c>
      <c r="C84" t="s">
        <v>691</v>
      </c>
      <c r="D84" s="4" t="s">
        <v>455</v>
      </c>
      <c r="E84" s="4" t="s">
        <v>454</v>
      </c>
      <c r="F84" s="4" cm="1">
        <f t="array" ref="F84">_xlfn.SWITCH(data[[#This Row],[diffusion_type]],"lognormal",0.0001,"normal",-0.01)*IF(data[[#This Row],[asset_class]]="Vol",1,1)</f>
        <v>1E-4</v>
      </c>
      <c r="G84" t="s">
        <v>300</v>
      </c>
      <c r="I84" t="s">
        <v>694</v>
      </c>
      <c r="K84" s="4">
        <v>1</v>
      </c>
      <c r="L84" s="4">
        <v>0</v>
      </c>
      <c r="M84" s="4">
        <v>0</v>
      </c>
      <c r="N84" s="4">
        <v>0</v>
      </c>
      <c r="O84" s="4" t="str">
        <f>data[[#This Row],[factor_name]]</f>
        <v>FXA</v>
      </c>
      <c r="P84" s="4" t="str" cm="1">
        <f t="array" ref="P84">_xlfn.IFS(data[[#This Row],[description_override]]&lt;&gt;"",data[[#This Row],[description_override]],data[[#This Row],[Description_GPT]]&lt;&gt;"",data[[#This Row],[Description_GPT]],data[[#This Row],[Underlying]]&lt;&gt;"",data[[#This Row],[Underlying]],TRUE,"-")</f>
        <v>Invesco CurrencyShares Australian Dollar Trust</v>
      </c>
      <c r="Q84" s="4" t="str">
        <f>_xlfn.XLOOKUP(data[[#This Row],[ticker]],yf_desc[ticker],yf_desc[shortName],"-")</f>
        <v>-</v>
      </c>
      <c r="R84" s="4" t="str">
        <f>_xlfn.XLOOKUP(data[[#This Row],[ticker]],yf_desc[ticker],yf_desc[longName],"-")</f>
        <v>-</v>
      </c>
      <c r="S84" s="4" t="str">
        <f>_xlfn.XLOOKUP(data[[#This Row],[ticker]],yf_desc[ticker],yf_desc[longBusinessSummary],"-")</f>
        <v>-</v>
      </c>
      <c r="T84" s="4"/>
    </row>
    <row r="85" spans="1:24" x14ac:dyDescent="0.25">
      <c r="A85" t="s">
        <v>65</v>
      </c>
      <c r="B85" t="s">
        <v>220</v>
      </c>
      <c r="C85" t="s">
        <v>689</v>
      </c>
      <c r="D85" s="4" t="s">
        <v>455</v>
      </c>
      <c r="E85" s="4" t="s">
        <v>454</v>
      </c>
      <c r="F85" s="4" cm="1">
        <f t="array" ref="F85">_xlfn.SWITCH(data[[#This Row],[diffusion_type]],"lognormal",0.0001,"normal",-0.01)*IF(data[[#This Row],[asset_class]]="Vol",1,1)</f>
        <v>1E-4</v>
      </c>
      <c r="G85" t="s">
        <v>299</v>
      </c>
      <c r="I85" t="s">
        <v>695</v>
      </c>
      <c r="K85" s="4">
        <v>1</v>
      </c>
      <c r="L85" s="4">
        <v>0</v>
      </c>
      <c r="M85" s="4">
        <v>0</v>
      </c>
      <c r="N85" s="4">
        <v>0</v>
      </c>
      <c r="O85" s="4" t="str">
        <f>data[[#This Row],[factor_name]]</f>
        <v>FXB</v>
      </c>
      <c r="P85" s="4" t="str" cm="1">
        <f t="array" ref="P85">_xlfn.IFS(data[[#This Row],[description_override]]&lt;&gt;"",data[[#This Row],[description_override]],data[[#This Row],[Description_GPT]]&lt;&gt;"",data[[#This Row],[Description_GPT]],data[[#This Row],[Underlying]]&lt;&gt;"",data[[#This Row],[Underlying]],TRUE,"-")</f>
        <v>Invesco CurrencyShares British Pound Sterling Trust</v>
      </c>
      <c r="Q85" s="4" t="str">
        <f>_xlfn.XLOOKUP(data[[#This Row],[ticker]],yf_desc[ticker],yf_desc[shortName],"-")</f>
        <v>-</v>
      </c>
      <c r="R85" s="4" t="str">
        <f>_xlfn.XLOOKUP(data[[#This Row],[ticker]],yf_desc[ticker],yf_desc[longName],"-")</f>
        <v>-</v>
      </c>
      <c r="S85" s="4" t="str">
        <f>_xlfn.XLOOKUP(data[[#This Row],[ticker]],yf_desc[ticker],yf_desc[longBusinessSummary],"-")</f>
        <v>-</v>
      </c>
      <c r="T85" s="4"/>
    </row>
    <row r="86" spans="1:24" x14ac:dyDescent="0.25">
      <c r="A86" t="s">
        <v>65</v>
      </c>
      <c r="B86" t="s">
        <v>40</v>
      </c>
      <c r="C86" t="s">
        <v>692</v>
      </c>
      <c r="D86" s="4" t="s">
        <v>455</v>
      </c>
      <c r="E86" s="4" t="s">
        <v>454</v>
      </c>
      <c r="F86" s="4" cm="1">
        <f t="array" ref="F86">_xlfn.SWITCH(data[[#This Row],[diffusion_type]],"lognormal",0.0001,"normal",-0.01)*IF(data[[#This Row],[asset_class]]="Vol",1,1)</f>
        <v>1E-4</v>
      </c>
      <c r="G86" t="s">
        <v>693</v>
      </c>
      <c r="I86" t="s">
        <v>696</v>
      </c>
      <c r="K86" s="4">
        <v>1</v>
      </c>
      <c r="L86" s="4">
        <v>0</v>
      </c>
      <c r="M86" s="4">
        <v>0</v>
      </c>
      <c r="N86" s="4">
        <v>0</v>
      </c>
      <c r="O86" s="4" t="str">
        <f>data[[#This Row],[factor_name]]</f>
        <v>FXC</v>
      </c>
      <c r="P86" s="4" t="str" cm="1">
        <f t="array" ref="P86">_xlfn.IFS(data[[#This Row],[description_override]]&lt;&gt;"",data[[#This Row],[description_override]],data[[#This Row],[Description_GPT]]&lt;&gt;"",data[[#This Row],[Description_GPT]],data[[#This Row],[Underlying]]&lt;&gt;"",data[[#This Row],[Underlying]],TRUE,"-")</f>
        <v>Invesco CurrencyShares Canadian Dollar Trust</v>
      </c>
      <c r="Q86" s="4" t="str">
        <f>_xlfn.XLOOKUP(data[[#This Row],[ticker]],yf_desc[ticker],yf_desc[shortName],"-")</f>
        <v>-</v>
      </c>
      <c r="R86" s="4" t="str">
        <f>_xlfn.XLOOKUP(data[[#This Row],[ticker]],yf_desc[ticker],yf_desc[longName],"-")</f>
        <v>-</v>
      </c>
      <c r="S86" s="4" t="str">
        <f>_xlfn.XLOOKUP(data[[#This Row],[ticker]],yf_desc[ticker],yf_desc[longBusinessSummary],"-")</f>
        <v>-</v>
      </c>
      <c r="T86" s="4"/>
    </row>
    <row r="87" spans="1:24" x14ac:dyDescent="0.25">
      <c r="A87" t="s">
        <v>65</v>
      </c>
      <c r="B87" t="s">
        <v>71</v>
      </c>
      <c r="C87" t="s">
        <v>72</v>
      </c>
      <c r="D87" s="4" t="s">
        <v>455</v>
      </c>
      <c r="E87" s="4" t="s">
        <v>454</v>
      </c>
      <c r="F87" s="4" cm="1">
        <f t="array" ref="F87">_xlfn.SWITCH(data[[#This Row],[diffusion_type]],"lognormal",0.0001,"normal",-0.01)*IF(data[[#This Row],[asset_class]]="Vol",1,1)</f>
        <v>1E-4</v>
      </c>
      <c r="G87" t="s">
        <v>523</v>
      </c>
      <c r="I87" t="s">
        <v>73</v>
      </c>
      <c r="J87" t="s">
        <v>113</v>
      </c>
      <c r="K87" s="4">
        <v>1</v>
      </c>
      <c r="L87" s="4">
        <v>0</v>
      </c>
      <c r="M87" s="4">
        <v>0</v>
      </c>
      <c r="N87" s="4">
        <v>0</v>
      </c>
      <c r="O87" s="4" t="str">
        <f>data[[#This Row],[factor_name]]</f>
        <v>FXY</v>
      </c>
      <c r="P87" s="4" t="str" cm="1">
        <f t="array" ref="P87">_xlfn.IFS(data[[#This Row],[description_override]]&lt;&gt;"",data[[#This Row],[description_override]],data[[#This Row],[Description_GPT]]&lt;&gt;"",data[[#This Row],[Description_GPT]],data[[#This Row],[Underlying]]&lt;&gt;"",data[[#This Row],[Underlying]],TRUE,"-")</f>
        <v>Invesco CurrencyShares Japanese Yen Trust</v>
      </c>
      <c r="Q87" s="4" t="str">
        <f>_xlfn.XLOOKUP(data[[#This Row],[ticker]],yf_desc[ticker],yf_desc[shortName],"-")</f>
        <v>Invesco CurrencyShares Japanese</v>
      </c>
      <c r="R87" s="4" t="str">
        <f>_xlfn.XLOOKUP(data[[#This Row],[ticker]],yf_desc[ticker],yf_desc[longName],"-")</f>
        <v>Invesco CurrencyShares Japanese Yen Trust</v>
      </c>
      <c r="S87" s="4" t="str">
        <f>_xlfn.XLOOKUP(data[[#This Row],[ticker]],yf_desc[ticker],yf_desc[longBusinessSummary],"-")</f>
        <v>The fund seeks to reflect the price in USD of the Japanese Yen. The sponsor believes that, for many investors, the shares represent a cost-effective investment relative to traditional means of investing in the foreign exchange market.</v>
      </c>
      <c r="T87" s="4"/>
    </row>
    <row r="88" spans="1:24" x14ac:dyDescent="0.25">
      <c r="A88" s="4" t="s">
        <v>475</v>
      </c>
      <c r="B88" s="4" t="s">
        <v>40</v>
      </c>
      <c r="C88" s="4" t="s">
        <v>471</v>
      </c>
      <c r="D88" s="4" t="s">
        <v>455</v>
      </c>
      <c r="E88" s="4" t="s">
        <v>467</v>
      </c>
      <c r="F88" s="4" cm="1">
        <f t="array" ref="F88">_xlfn.SWITCH(data[[#This Row],[diffusion_type]],"lognormal",0.0001,"normal",-0.01)*IF(data[[#This Row],[asset_class]]="Vol",1,1)</f>
        <v>-0.01</v>
      </c>
      <c r="G88" s="4"/>
      <c r="H88" s="4"/>
      <c r="I88" s="4" t="s">
        <v>472</v>
      </c>
      <c r="J88" s="4"/>
      <c r="K88" s="4">
        <v>1</v>
      </c>
      <c r="L88" s="4">
        <v>0</v>
      </c>
      <c r="M88" s="4">
        <v>0</v>
      </c>
      <c r="N88" s="4">
        <v>0</v>
      </c>
      <c r="O88" s="4" t="str">
        <f>data[[#This Row],[factor_name]]</f>
        <v>^VIX</v>
      </c>
      <c r="P88" s="4" t="str" cm="1">
        <f t="array" ref="P88">_xlfn.IFS(data[[#This Row],[description_override]]&lt;&gt;"",data[[#This Row],[description_override]],data[[#This Row],[Description_GPT]]&lt;&gt;"",data[[#This Row],[Description_GPT]],data[[#This Row],[Underlying]]&lt;&gt;"",data[[#This Row],[Underlying]],TRUE,"-")</f>
        <v>CBOE Volatility Index</v>
      </c>
      <c r="Q88" s="4" t="str">
        <f>_xlfn.XLOOKUP(data[[#This Row],[ticker]],yf_desc[ticker],yf_desc[shortName],"-")</f>
        <v>CBOE Volatility Index</v>
      </c>
      <c r="R88" s="4" t="str">
        <f>_xlfn.XLOOKUP(data[[#This Row],[ticker]],yf_desc[ticker],yf_desc[longName],"-")</f>
        <v>CBOE Volatility Index</v>
      </c>
      <c r="S88" s="4">
        <f>_xlfn.XLOOKUP(data[[#This Row],[ticker]],yf_desc[ticker],yf_desc[longBusinessSummary],"-")</f>
        <v>0</v>
      </c>
      <c r="T88" s="4"/>
      <c r="U88" s="2"/>
    </row>
    <row r="89" spans="1:24" x14ac:dyDescent="0.25">
      <c r="A89" s="4" t="s">
        <v>475</v>
      </c>
      <c r="B89" s="4" t="s">
        <v>40</v>
      </c>
      <c r="C89" s="4" t="s">
        <v>493</v>
      </c>
      <c r="D89" s="4" t="s">
        <v>455</v>
      </c>
      <c r="E89" s="4" t="s">
        <v>467</v>
      </c>
      <c r="F89" s="4" cm="1">
        <f t="array" ref="F89">_xlfn.SWITCH(data[[#This Row],[diffusion_type]],"lognormal",0.0001,"normal",-0.01)*IF(data[[#This Row],[asset_class]]="Vol",1,1)</f>
        <v>-0.01</v>
      </c>
      <c r="G89" s="4"/>
      <c r="H89" s="4"/>
      <c r="I89" s="4" t="s">
        <v>494</v>
      </c>
      <c r="J89" s="4"/>
      <c r="K89" s="4">
        <v>1</v>
      </c>
      <c r="L89" s="4">
        <v>0</v>
      </c>
      <c r="M89" s="4">
        <v>0</v>
      </c>
      <c r="N89" s="4">
        <v>0</v>
      </c>
      <c r="O89" s="4" t="str">
        <f>data[[#This Row],[factor_name]]</f>
        <v>VXX</v>
      </c>
      <c r="P89" s="4" t="str" cm="1">
        <f t="array" ref="P89">_xlfn.IFS(data[[#This Row],[description_override]]&lt;&gt;"",data[[#This Row],[description_override]],data[[#This Row],[Description_GPT]]&lt;&gt;"",data[[#This Row],[Description_GPT]],data[[#This Row],[Underlying]]&lt;&gt;"",data[[#This Row],[Underlying]],TRUE,"-")</f>
        <v>VIX Short-Term Futures ETN</v>
      </c>
      <c r="Q89" s="4" t="str">
        <f>_xlfn.XLOOKUP(data[[#This Row],[ticker]],yf_desc[ticker],yf_desc[shortName],"-")</f>
        <v>iPath Series B S&amp;P 500 VIX Shor</v>
      </c>
      <c r="R89" s="4" t="str">
        <f>_xlfn.XLOOKUP(data[[#This Row],[ticker]],yf_desc[ticker],yf_desc[longName],"-")</f>
        <v>iPath Series B S&amp;P 500 VIX Short-Term Futures ETN</v>
      </c>
      <c r="S89" s="4" t="str">
        <f>_xlfn.XLOOKUP(data[[#This Row],[ticker]],yf_desc[ticker],yf_desc[longBusinessSummary],"-")</f>
        <v>The ETN offers exposure to futures contracts of specified maturities on the VIX index and not direct exposure to the VIX index or its spot level. The index is designed to provide investors with exposure to one or more maturities of futures contracts on the CBOE Volatility Index®.</v>
      </c>
      <c r="T89" s="4"/>
      <c r="U89" s="2"/>
    </row>
    <row r="90" spans="1:24" x14ac:dyDescent="0.25">
      <c r="A90" s="4" t="s">
        <v>475</v>
      </c>
      <c r="B90" s="4" t="s">
        <v>40</v>
      </c>
      <c r="C90" s="4" t="s">
        <v>495</v>
      </c>
      <c r="D90" s="4" t="s">
        <v>455</v>
      </c>
      <c r="E90" s="4" t="s">
        <v>467</v>
      </c>
      <c r="F90" s="4" cm="1">
        <f t="array" ref="F90">_xlfn.SWITCH(data[[#This Row],[diffusion_type]],"lognormal",0.0001,"normal",-0.01)*IF(data[[#This Row],[asset_class]]="Vol",1,1)</f>
        <v>-0.01</v>
      </c>
      <c r="G90" s="4"/>
      <c r="H90" s="4"/>
      <c r="I90" s="4" t="s">
        <v>496</v>
      </c>
      <c r="J90" s="4"/>
      <c r="K90" s="4">
        <v>1</v>
      </c>
      <c r="L90" s="4">
        <v>0</v>
      </c>
      <c r="M90" s="4">
        <v>0</v>
      </c>
      <c r="N90" s="4">
        <v>0</v>
      </c>
      <c r="O90" s="4" t="str">
        <f>data[[#This Row],[factor_name]]</f>
        <v>^VIX3M</v>
      </c>
      <c r="P90" s="4" t="str" cm="1">
        <f t="array" ref="P90">_xlfn.IFS(data[[#This Row],[description_override]]&lt;&gt;"",data[[#This Row],[description_override]],data[[#This Row],[Description_GPT]]&lt;&gt;"",data[[#This Row],[Description_GPT]],data[[#This Row],[Underlying]]&lt;&gt;"",data[[#This Row],[Underlying]],TRUE,"-")</f>
        <v>CBOE S&amp;P 500 3-Month Volatility</v>
      </c>
      <c r="Q90" s="4" t="str">
        <f>_xlfn.XLOOKUP(data[[#This Row],[ticker]],yf_desc[ticker],yf_desc[shortName],"-")</f>
        <v>CBOE S&amp;P 500 3-Month Volatility</v>
      </c>
      <c r="R90" s="4" t="str">
        <f>_xlfn.XLOOKUP(data[[#This Row],[ticker]],yf_desc[ticker],yf_desc[longName],"-")</f>
        <v>CBOE S&amp;P 500 3-Month Volatility</v>
      </c>
      <c r="S90" s="4">
        <f>_xlfn.XLOOKUP(data[[#This Row],[ticker]],yf_desc[ticker],yf_desc[longBusinessSummary],"-")</f>
        <v>0</v>
      </c>
      <c r="T90" s="4"/>
      <c r="X90" s="4" t="e" cm="1" vm="2">
        <f t="array" ref="X90">_xlfn._xlws.FILTER(composities[weight],composities[portfolio_name]=data[[#This Row],[factor_name]])</f>
        <v>#VALUE!</v>
      </c>
    </row>
    <row r="91" spans="1:24" x14ac:dyDescent="0.25">
      <c r="A91" s="4" t="s">
        <v>475</v>
      </c>
      <c r="B91" s="4" t="s">
        <v>40</v>
      </c>
      <c r="C91" s="4" t="s">
        <v>483</v>
      </c>
      <c r="D91" s="4" t="s">
        <v>455</v>
      </c>
      <c r="E91" s="4" t="s">
        <v>467</v>
      </c>
      <c r="F91" s="4" cm="1">
        <f t="array" ref="F91">_xlfn.SWITCH(data[[#This Row],[diffusion_type]],"lognormal",0.0001,"normal",-0.01)*IF(data[[#This Row],[asset_class]]="Vol",1,1)</f>
        <v>-0.01</v>
      </c>
      <c r="G91" s="4"/>
      <c r="H91" s="4"/>
      <c r="I91" s="4" t="s">
        <v>473</v>
      </c>
      <c r="J91" s="4"/>
      <c r="K91" s="4">
        <v>0</v>
      </c>
      <c r="L91" s="4">
        <v>0</v>
      </c>
      <c r="M91" s="4">
        <v>0</v>
      </c>
      <c r="N91" s="4">
        <v>0</v>
      </c>
      <c r="O91" s="4" t="str">
        <f>data[[#This Row],[factor_name]]</f>
        <v>^VVIX</v>
      </c>
      <c r="P91" s="4" t="str" cm="1">
        <f t="array" ref="P91">_xlfn.IFS(data[[#This Row],[description_override]]&lt;&gt;"",data[[#This Row],[description_override]],data[[#This Row],[Description_GPT]]&lt;&gt;"",data[[#This Row],[Description_GPT]],data[[#This Row],[Underlying]]&lt;&gt;"",data[[#This Row],[Underlying]],TRUE,"-")</f>
        <v>CBOE VIX VOLATILITY INDEX</v>
      </c>
      <c r="Q91" s="4" t="str">
        <f>_xlfn.XLOOKUP(data[[#This Row],[ticker]],yf_desc[ticker],yf_desc[shortName],"-")</f>
        <v>CBOE VIX VOLATILITY INDEX</v>
      </c>
      <c r="R91" s="4" t="str">
        <f>_xlfn.XLOOKUP(data[[#This Row],[ticker]],yf_desc[ticker],yf_desc[longName],"-")</f>
        <v>^VVIX</v>
      </c>
      <c r="S91" s="4">
        <f>_xlfn.XLOOKUP(data[[#This Row],[ticker]],yf_desc[ticker],yf_desc[longBusinessSummary],"-")</f>
        <v>0</v>
      </c>
      <c r="T91" s="4"/>
    </row>
    <row r="92" spans="1:24" x14ac:dyDescent="0.25">
      <c r="A92" s="4" t="s">
        <v>475</v>
      </c>
      <c r="B92" s="4" t="s">
        <v>40</v>
      </c>
      <c r="C92" s="4" t="s">
        <v>474</v>
      </c>
      <c r="D92" s="4" t="s">
        <v>455</v>
      </c>
      <c r="E92" s="4" t="s">
        <v>467</v>
      </c>
      <c r="F92" s="4" cm="1">
        <f t="array" ref="F92">_xlfn.SWITCH(data[[#This Row],[diffusion_type]],"lognormal",0.0001,"normal",-0.01)*IF(data[[#This Row],[asset_class]]="Vol",1,1)</f>
        <v>-0.01</v>
      </c>
      <c r="G92" s="4"/>
      <c r="H92" s="4"/>
      <c r="I92" s="4" t="s">
        <v>476</v>
      </c>
      <c r="J92" s="4"/>
      <c r="K92" s="4">
        <v>1</v>
      </c>
      <c r="L92" s="4">
        <v>0</v>
      </c>
      <c r="M92" s="4">
        <v>0</v>
      </c>
      <c r="N92" s="4">
        <v>0</v>
      </c>
      <c r="O92" s="4" t="str">
        <f>data[[#This Row],[factor_name]]</f>
        <v>^MOVE</v>
      </c>
      <c r="P92" s="4" t="str" cm="1">
        <f t="array" ref="P92">_xlfn.IFS(data[[#This Row],[description_override]]&lt;&gt;"",data[[#This Row],[description_override]],data[[#This Row],[Description_GPT]]&lt;&gt;"",data[[#This Row],[Description_GPT]],data[[#This Row],[Underlying]]&lt;&gt;"",data[[#This Row],[Underlying]],TRUE,"-")</f>
        <v>ICE BofAML MOVE Index</v>
      </c>
      <c r="Q92" s="4" t="str">
        <f>_xlfn.XLOOKUP(data[[#This Row],[ticker]],yf_desc[ticker],yf_desc[shortName],"-")</f>
        <v>ICE BofAML MOVE Index</v>
      </c>
      <c r="R92" s="4" t="str">
        <f>_xlfn.XLOOKUP(data[[#This Row],[ticker]],yf_desc[ticker],yf_desc[longName],"-")</f>
        <v>ICE BofAML MOVE Index</v>
      </c>
      <c r="S92" s="4">
        <f>_xlfn.XLOOKUP(data[[#This Row],[ticker]],yf_desc[ticker],yf_desc[longBusinessSummary],"-")</f>
        <v>0</v>
      </c>
      <c r="T92" s="4"/>
    </row>
    <row r="93" spans="1:24" x14ac:dyDescent="0.25">
      <c r="A93" s="4" t="s">
        <v>475</v>
      </c>
      <c r="B93" s="4" t="s">
        <v>40</v>
      </c>
      <c r="C93" s="4" t="s">
        <v>477</v>
      </c>
      <c r="D93" s="4" t="s">
        <v>455</v>
      </c>
      <c r="E93" s="4" t="s">
        <v>467</v>
      </c>
      <c r="F93" s="4" cm="1">
        <f t="array" ref="F93">_xlfn.SWITCH(data[[#This Row],[diffusion_type]],"lognormal",0.0001,"normal",-0.01)*IF(data[[#This Row],[asset_class]]="Vol",1,1)</f>
        <v>-0.01</v>
      </c>
      <c r="G93" s="4"/>
      <c r="H93" s="4"/>
      <c r="I93" s="4" t="s">
        <v>478</v>
      </c>
      <c r="J93" s="4"/>
      <c r="K93" s="4">
        <v>1</v>
      </c>
      <c r="L93" s="4">
        <v>0</v>
      </c>
      <c r="M93" s="4">
        <v>0</v>
      </c>
      <c r="N93" s="4">
        <v>0</v>
      </c>
      <c r="O93" s="4" t="str">
        <f>data[[#This Row],[factor_name]]</f>
        <v>^OVX</v>
      </c>
      <c r="P93" s="4" t="str" cm="1">
        <f t="array" ref="P93">_xlfn.IFS(data[[#This Row],[description_override]]&lt;&gt;"",data[[#This Row],[description_override]],data[[#This Row],[Description_GPT]]&lt;&gt;"",data[[#This Row],[Description_GPT]],data[[#This Row],[Underlying]]&lt;&gt;"",data[[#This Row],[Underlying]],TRUE,"-")</f>
        <v>CBOE Crude Oil Volatility Index</v>
      </c>
      <c r="Q93" s="4" t="str">
        <f>_xlfn.XLOOKUP(data[[#This Row],[ticker]],yf_desc[ticker],yf_desc[shortName],"-")</f>
        <v>CBOE Crude Oil Volatility Index</v>
      </c>
      <c r="R93" s="4" t="str">
        <f>_xlfn.XLOOKUP(data[[#This Row],[ticker]],yf_desc[ticker],yf_desc[longName],"-")</f>
        <v>^OVX</v>
      </c>
      <c r="S93" s="4">
        <f>_xlfn.XLOOKUP(data[[#This Row],[ticker]],yf_desc[ticker],yf_desc[longBusinessSummary],"-")</f>
        <v>0</v>
      </c>
      <c r="T93" s="4"/>
    </row>
    <row r="94" spans="1:24" x14ac:dyDescent="0.25">
      <c r="A94" s="4" t="s">
        <v>475</v>
      </c>
      <c r="B94" s="4" t="s">
        <v>40</v>
      </c>
      <c r="C94" s="4" t="s">
        <v>479</v>
      </c>
      <c r="D94" s="4" t="s">
        <v>455</v>
      </c>
      <c r="E94" s="4" t="s">
        <v>467</v>
      </c>
      <c r="F94" s="4" cm="1">
        <f t="array" ref="F94">_xlfn.SWITCH(data[[#This Row],[diffusion_type]],"lognormal",0.0001,"normal",-0.01)*IF(data[[#This Row],[asset_class]]="Vol",1,1)</f>
        <v>-0.01</v>
      </c>
      <c r="G94" s="4"/>
      <c r="H94" s="4"/>
      <c r="I94" s="4" t="s">
        <v>480</v>
      </c>
      <c r="J94" s="4"/>
      <c r="K94" s="4">
        <v>0</v>
      </c>
      <c r="L94" s="4">
        <v>0</v>
      </c>
      <c r="M94" s="4">
        <v>0</v>
      </c>
      <c r="N94" s="4">
        <v>0</v>
      </c>
      <c r="O94" s="4" t="str">
        <f>data[[#This Row],[factor_name]]</f>
        <v>^EVZ</v>
      </c>
      <c r="P94" s="4" t="str" cm="1">
        <f t="array" ref="P94">_xlfn.IFS(data[[#This Row],[description_override]]&lt;&gt;"",data[[#This Row],[description_override]],data[[#This Row],[Description_GPT]]&lt;&gt;"",data[[#This Row],[Description_GPT]],data[[#This Row],[Underlying]]&lt;&gt;"",data[[#This Row],[Underlying]],TRUE,"-")</f>
        <v>CBOE Euro currency Volatility I</v>
      </c>
      <c r="Q94" s="4" t="str">
        <f>_xlfn.XLOOKUP(data[[#This Row],[ticker]],yf_desc[ticker],yf_desc[shortName],"-")</f>
        <v>^EVZ,92169,0</v>
      </c>
      <c r="R94" s="4" t="str">
        <f>_xlfn.XLOOKUP(data[[#This Row],[ticker]],yf_desc[ticker],yf_desc[longName],"-")</f>
        <v>^EVZ,92169,0</v>
      </c>
      <c r="S94" s="4">
        <f>_xlfn.XLOOKUP(data[[#This Row],[ticker]],yf_desc[ticker],yf_desc[longBusinessSummary],"-")</f>
        <v>0</v>
      </c>
      <c r="T94" s="4"/>
    </row>
    <row r="95" spans="1:24" x14ac:dyDescent="0.25">
      <c r="A95" s="4" t="s">
        <v>475</v>
      </c>
      <c r="B95" s="4" t="s">
        <v>40</v>
      </c>
      <c r="C95" s="4" t="s">
        <v>481</v>
      </c>
      <c r="D95" s="4" t="s">
        <v>455</v>
      </c>
      <c r="E95" s="4" t="s">
        <v>467</v>
      </c>
      <c r="F95" s="4" cm="1">
        <f t="array" ref="F95">_xlfn.SWITCH(data[[#This Row],[diffusion_type]],"lognormal",0.0001,"normal",-0.01)*IF(data[[#This Row],[asset_class]]="Vol",1,1)</f>
        <v>-0.01</v>
      </c>
      <c r="G95" s="4"/>
      <c r="H95" s="4"/>
      <c r="I95" s="4" t="s">
        <v>482</v>
      </c>
      <c r="J95" s="4"/>
      <c r="K95" s="4">
        <v>1</v>
      </c>
      <c r="L95" s="4">
        <v>0</v>
      </c>
      <c r="M95" s="4">
        <v>0</v>
      </c>
      <c r="N95" s="4">
        <v>0</v>
      </c>
      <c r="O95" s="4" t="str">
        <f>data[[#This Row],[factor_name]]</f>
        <v>^GVZ</v>
      </c>
      <c r="P95" s="4" t="str" cm="1">
        <f t="array" ref="P95">_xlfn.IFS(data[[#This Row],[description_override]]&lt;&gt;"",data[[#This Row],[description_override]],data[[#This Row],[Description_GPT]]&lt;&gt;"",data[[#This Row],[Description_GPT]],data[[#This Row],[Underlying]]&lt;&gt;"",data[[#This Row],[Underlying]],TRUE,"-")</f>
        <v>CBOE Gold Volatility Index</v>
      </c>
      <c r="Q95" s="4" t="str">
        <f>_xlfn.XLOOKUP(data[[#This Row],[ticker]],yf_desc[ticker],yf_desc[shortName],"-")</f>
        <v>CBOE Gold Volatility Index</v>
      </c>
      <c r="R95" s="4" t="str">
        <f>_xlfn.XLOOKUP(data[[#This Row],[ticker]],yf_desc[ticker],yf_desc[longName],"-")</f>
        <v>^GVZ</v>
      </c>
      <c r="S95" s="4">
        <f>_xlfn.XLOOKUP(data[[#This Row],[ticker]],yf_desc[ticker],yf_desc[longBusinessSummary],"-")</f>
        <v>0</v>
      </c>
      <c r="T95" s="4"/>
    </row>
    <row r="96" spans="1:24" x14ac:dyDescent="0.25">
      <c r="A96" s="4" t="s">
        <v>475</v>
      </c>
      <c r="B96" s="4" t="s">
        <v>40</v>
      </c>
      <c r="C96" s="4" t="s">
        <v>484</v>
      </c>
      <c r="D96" s="4" t="s">
        <v>455</v>
      </c>
      <c r="E96" s="4" t="s">
        <v>467</v>
      </c>
      <c r="F96" s="4" cm="1">
        <f t="array" ref="F96">_xlfn.SWITCH(data[[#This Row],[diffusion_type]],"lognormal",0.0001,"normal",-0.01)*IF(data[[#This Row],[asset_class]]="Vol",1,1)</f>
        <v>-0.01</v>
      </c>
      <c r="G96" s="4"/>
      <c r="H96" s="4"/>
      <c r="I96" s="4" t="s">
        <v>485</v>
      </c>
      <c r="J96" s="4"/>
      <c r="K96" s="4">
        <v>0</v>
      </c>
      <c r="L96" s="4">
        <v>0</v>
      </c>
      <c r="M96" s="4">
        <v>0</v>
      </c>
      <c r="N96" s="4">
        <v>0</v>
      </c>
      <c r="O96" s="4" t="str">
        <f>data[[#This Row],[factor_name]]</f>
        <v>^COR3M</v>
      </c>
      <c r="P96" s="4" t="str" cm="1">
        <f t="array" ref="P96">_xlfn.IFS(data[[#This Row],[description_override]]&lt;&gt;"",data[[#This Row],[description_override]],data[[#This Row],[Description_GPT]]&lt;&gt;"",data[[#This Row],[Description_GPT]],data[[#This Row],[Underlying]]&lt;&gt;"",data[[#This Row],[Underlying]],TRUE,"-")</f>
        <v>Cboe Implied Correlation Index</v>
      </c>
      <c r="Q96" s="4" t="str">
        <f>_xlfn.XLOOKUP(data[[#This Row],[ticker]],yf_desc[ticker],yf_desc[shortName],"-")</f>
        <v>Cboe Implied Correlation Index</v>
      </c>
      <c r="R96" s="4" t="str">
        <f>_xlfn.XLOOKUP(data[[#This Row],[ticker]],yf_desc[ticker],yf_desc[longName],"-")</f>
        <v>Cboe Implied Correlation Index</v>
      </c>
      <c r="S96" s="4">
        <f>_xlfn.XLOOKUP(data[[#This Row],[ticker]],yf_desc[ticker],yf_desc[longBusinessSummary],"-")</f>
        <v>0</v>
      </c>
      <c r="T96" s="4"/>
    </row>
    <row r="97" spans="1:20" x14ac:dyDescent="0.25">
      <c r="A97" s="4" t="s">
        <v>446</v>
      </c>
      <c r="B97" s="4" t="s">
        <v>40</v>
      </c>
      <c r="C97" s="4" t="s">
        <v>429</v>
      </c>
      <c r="D97" s="4" t="s">
        <v>455</v>
      </c>
      <c r="E97" s="4" t="s">
        <v>454</v>
      </c>
      <c r="F97" s="4" cm="1">
        <f t="array" ref="F97">_xlfn.SWITCH(data[[#This Row],[diffusion_type]],"lognormal",0.0001,"normal",-0.01)*IF(data[[#This Row],[asset_class]]="Vol",1,1)</f>
        <v>1E-4</v>
      </c>
      <c r="G97" s="4"/>
      <c r="H97" s="4"/>
      <c r="I97" s="4"/>
      <c r="J97" s="4" t="s">
        <v>522</v>
      </c>
      <c r="K97" s="4">
        <v>1</v>
      </c>
      <c r="L97" s="4">
        <v>1</v>
      </c>
      <c r="M97" s="4">
        <v>0</v>
      </c>
      <c r="N97" s="4">
        <v>0</v>
      </c>
      <c r="O97" s="4" t="str">
        <f>data[[#This Row],[factor_name]]</f>
        <v>MWTIX</v>
      </c>
      <c r="P97" s="4" t="str" cm="1">
        <f t="array" ref="P97">_xlfn.IFS(data[[#This Row],[description_override]]&lt;&gt;"",data[[#This Row],[description_override]],data[[#This Row],[Description_GPT]]&lt;&gt;"",data[[#This Row],[Description_GPT]],data[[#This Row],[Underlying]]&lt;&gt;"",data[[#This Row],[Underlying]],TRUE,"-")</f>
        <v>TCW MetWest Total Return Bd I</v>
      </c>
      <c r="Q97" s="4" t="str">
        <f>_xlfn.XLOOKUP(data[[#This Row],[ticker]],yf_desc[ticker],yf_desc[shortName],"-")</f>
        <v>-</v>
      </c>
      <c r="R97" s="4" t="str">
        <f>_xlfn.XLOOKUP(data[[#This Row],[ticker]],yf_desc[ticker],yf_desc[longName],"-")</f>
        <v>-</v>
      </c>
      <c r="S97" s="4" t="str">
        <f>_xlfn.XLOOKUP(data[[#This Row],[ticker]],yf_desc[ticker],yf_desc[longBusinessSummary],"-")</f>
        <v>-</v>
      </c>
      <c r="T97" s="4"/>
    </row>
    <row r="98" spans="1:20" x14ac:dyDescent="0.25">
      <c r="A98" s="4" t="s">
        <v>446</v>
      </c>
      <c r="B98" s="4" t="s">
        <v>40</v>
      </c>
      <c r="C98" s="4" t="s">
        <v>687</v>
      </c>
      <c r="D98" s="4" t="s">
        <v>455</v>
      </c>
      <c r="E98" s="4" t="s">
        <v>454</v>
      </c>
      <c r="F98" s="4" cm="1">
        <f t="array" ref="F98">_xlfn.SWITCH(data[[#This Row],[diffusion_type]],"lognormal",0.0001,"normal",-0.01)*IF(data[[#This Row],[asset_class]]="Vol",1,1)</f>
        <v>1E-4</v>
      </c>
      <c r="G98" s="4"/>
      <c r="H98" s="4"/>
      <c r="I98" s="4"/>
      <c r="J98" s="4" t="s">
        <v>688</v>
      </c>
      <c r="K98" s="4">
        <v>1</v>
      </c>
      <c r="L98" s="4">
        <v>0</v>
      </c>
      <c r="M98" s="4">
        <v>0</v>
      </c>
      <c r="N98" s="4">
        <v>0</v>
      </c>
      <c r="O98" s="4" t="str">
        <f>data[[#This Row],[factor_name]]</f>
        <v>FCNTX</v>
      </c>
      <c r="P98" s="4" t="str" cm="1">
        <f t="array" ref="P98">_xlfn.IFS(data[[#This Row],[description_override]]&lt;&gt;"",data[[#This Row],[description_override]],data[[#This Row],[Description_GPT]]&lt;&gt;"",data[[#This Row],[Description_GPT]],data[[#This Row],[Underlying]]&lt;&gt;"",data[[#This Row],[Underlying]],TRUE,"-")</f>
        <v>Fidelity Contrafund</v>
      </c>
      <c r="Q98" s="4" t="str">
        <f>_xlfn.XLOOKUP(data[[#This Row],[ticker]],yf_desc[ticker],yf_desc[shortName],"-")</f>
        <v>-</v>
      </c>
      <c r="R98" s="4" t="str">
        <f>_xlfn.XLOOKUP(data[[#This Row],[ticker]],yf_desc[ticker],yf_desc[longName],"-")</f>
        <v>-</v>
      </c>
      <c r="S98" s="4" t="str">
        <f>_xlfn.XLOOKUP(data[[#This Row],[ticker]],yf_desc[ticker],yf_desc[longBusinessSummary],"-")</f>
        <v>-</v>
      </c>
      <c r="T98" s="4"/>
    </row>
    <row r="99" spans="1:20" x14ac:dyDescent="0.25">
      <c r="A99" s="4" t="s">
        <v>444</v>
      </c>
      <c r="B99" s="4" t="s">
        <v>40</v>
      </c>
      <c r="C99" s="4" t="s">
        <v>727</v>
      </c>
      <c r="D99" s="4" t="s">
        <v>445</v>
      </c>
      <c r="E99" s="4" t="s">
        <v>454</v>
      </c>
      <c r="F99" s="4" cm="1">
        <f t="array" ref="F99">_xlfn.SWITCH(data[[#This Row],[diffusion_type]],"lognormal",0.0001,"normal",-0.01)*IF(data[[#This Row],[asset_class]]="Vol",1,1)</f>
        <v>1E-4</v>
      </c>
      <c r="G99" s="4"/>
      <c r="H99" s="4"/>
      <c r="I99" s="4"/>
      <c r="J99" s="4" t="str" cm="1">
        <f t="array" ref="J99">_xlfn.XLOOKUP(data[[#This Row],[factor_name]],_xlfn.ANCHORARRAY(composites!$I$2),_xlfn.ANCHORARRAY(composites!$J$2))</f>
        <v>PSP 0.5, XLF -0.5, BKLN 0.5, LQDH -0.5</v>
      </c>
      <c r="K99" s="4">
        <v>1</v>
      </c>
      <c r="L99" s="4">
        <v>1</v>
      </c>
      <c r="M99" s="4">
        <v>1</v>
      </c>
      <c r="N99" s="4">
        <v>0</v>
      </c>
      <c r="O99" s="4" t="str">
        <f>data[[#This Row],[factor_name]]</f>
        <v>PRIVATES</v>
      </c>
      <c r="P99" s="4" t="str" cm="1">
        <f t="array" ref="P99">_xlfn.IFS(data[[#This Row],[description_override]]&lt;&gt;"",data[[#This Row],[description_override]],data[[#This Row],[Description_GPT]]&lt;&gt;"",data[[#This Row],[Description_GPT]],data[[#This Row],[Underlying]]&lt;&gt;"",data[[#This Row],[Underlying]],TRUE,"-")</f>
        <v>PSP 0.5, XLF -0.5, BKLN 0.5, LQDH -0.5</v>
      </c>
      <c r="Q99" s="4" t="str">
        <f>_xlfn.XLOOKUP(data[[#This Row],[ticker]],yf_desc[ticker],yf_desc[shortName],"-")</f>
        <v>-</v>
      </c>
      <c r="R99" s="4" t="str">
        <f>_xlfn.XLOOKUP(data[[#This Row],[ticker]],yf_desc[ticker],yf_desc[longName],"-")</f>
        <v>-</v>
      </c>
      <c r="S99" s="4" t="str">
        <f>_xlfn.XLOOKUP(data[[#This Row],[ticker]],yf_desc[ticker],yf_desc[longBusinessSummary],"-")</f>
        <v>-</v>
      </c>
      <c r="T99" s="4"/>
    </row>
    <row r="100" spans="1:20" x14ac:dyDescent="0.25">
      <c r="A100" s="4" t="s">
        <v>444</v>
      </c>
      <c r="B100" s="4" t="s">
        <v>40</v>
      </c>
      <c r="C100" s="4" t="s">
        <v>439</v>
      </c>
      <c r="D100" s="4" t="s">
        <v>445</v>
      </c>
      <c r="E100" s="4" t="s">
        <v>454</v>
      </c>
      <c r="F100" s="4" cm="1">
        <f t="array" ref="F100">_xlfn.SWITCH(data[[#This Row],[diffusion_type]],"lognormal",0.0001,"normal",-0.01)*IF(data[[#This Row],[asset_class]]="Vol",1,1)</f>
        <v>1E-4</v>
      </c>
      <c r="G100" s="4"/>
      <c r="H100" s="4"/>
      <c r="I100" s="4"/>
      <c r="J100" s="4" t="str" cm="1">
        <f t="array" ref="J100">_xlfn.XLOOKUP(data[[#This Row],[factor_name]],_xlfn.ANCHORARRAY(composites!$I$2),_xlfn.ANCHORARRAY(composites!$J$2))</f>
        <v>SHY 1, BSV 1</v>
      </c>
      <c r="K100" s="4">
        <v>1</v>
      </c>
      <c r="L100" s="4">
        <v>1</v>
      </c>
      <c r="M100" s="4">
        <v>1</v>
      </c>
      <c r="N100" s="4">
        <v>0</v>
      </c>
      <c r="O100" s="4" t="str">
        <f>data[[#This Row],[factor_name]]</f>
        <v>FED</v>
      </c>
      <c r="P100" s="4" t="str" cm="1">
        <f t="array" ref="P100">_xlfn.IFS(data[[#This Row],[description_override]]&lt;&gt;"",data[[#This Row],[description_override]],data[[#This Row],[Description_GPT]]&lt;&gt;"",data[[#This Row],[Description_GPT]],data[[#This Row],[Underlying]]&lt;&gt;"",data[[#This Row],[Underlying]],TRUE,"-")</f>
        <v>SHY 1, BSV 1</v>
      </c>
      <c r="Q100" s="4" t="str">
        <f>_xlfn.XLOOKUP(data[[#This Row],[ticker]],yf_desc[ticker],yf_desc[shortName],"-")</f>
        <v>-</v>
      </c>
      <c r="R100" s="4" t="str">
        <f>_xlfn.XLOOKUP(data[[#This Row],[ticker]],yf_desc[ticker],yf_desc[longName],"-")</f>
        <v>-</v>
      </c>
      <c r="S100" s="4" t="str">
        <f>_xlfn.XLOOKUP(data[[#This Row],[ticker]],yf_desc[ticker],yf_desc[longBusinessSummary],"-")</f>
        <v>-</v>
      </c>
      <c r="T100" s="4"/>
    </row>
    <row r="101" spans="1:20" x14ac:dyDescent="0.25">
      <c r="A101" s="4" t="s">
        <v>444</v>
      </c>
      <c r="B101" s="4" t="s">
        <v>40</v>
      </c>
      <c r="C101" s="4" t="s">
        <v>421</v>
      </c>
      <c r="D101" s="4" t="s">
        <v>445</v>
      </c>
      <c r="E101" s="4" t="s">
        <v>454</v>
      </c>
      <c r="F101" s="4" cm="1">
        <f t="array" ref="F101">_xlfn.SWITCH(data[[#This Row],[diffusion_type]],"lognormal",0.0001,"normal",-0.01)*IF(data[[#This Row],[asset_class]]="Vol",1,1)</f>
        <v>1E-4</v>
      </c>
      <c r="G101" s="4"/>
      <c r="H101" s="4"/>
      <c r="I101" s="4"/>
      <c r="J101" s="4" t="str" cm="1">
        <f t="array" ref="J101">_xlfn.XLOOKUP(data[[#This Row],[factor_name]],_xlfn.ANCHORARRAY(composites!$I$2),_xlfn.ANCHORARRAY(composites!$J$2))</f>
        <v>AIQ 1, QQQ 0.25, IWM -0.25</v>
      </c>
      <c r="K101" s="4">
        <v>1</v>
      </c>
      <c r="L101" s="4">
        <v>1</v>
      </c>
      <c r="M101" s="4">
        <v>1</v>
      </c>
      <c r="N101" s="4">
        <v>0</v>
      </c>
      <c r="O101" s="4" t="str">
        <f>data[[#This Row],[factor_name]]</f>
        <v>AI</v>
      </c>
      <c r="P101" s="4" t="str" cm="1">
        <f t="array" ref="P101">_xlfn.IFS(data[[#This Row],[description_override]]&lt;&gt;"",data[[#This Row],[description_override]],data[[#This Row],[Description_GPT]]&lt;&gt;"",data[[#This Row],[Description_GPT]],data[[#This Row],[Underlying]]&lt;&gt;"",data[[#This Row],[Underlying]],TRUE,"-")</f>
        <v>AIQ 1, QQQ 0.25, IWM -0.25</v>
      </c>
      <c r="Q101" s="4" t="str">
        <f>_xlfn.XLOOKUP(data[[#This Row],[ticker]],yf_desc[ticker],yf_desc[shortName],"-")</f>
        <v>-</v>
      </c>
      <c r="R101" s="4" t="str">
        <f>_xlfn.XLOOKUP(data[[#This Row],[ticker]],yf_desc[ticker],yf_desc[longName],"-")</f>
        <v>-</v>
      </c>
      <c r="S101" s="4" t="str">
        <f>_xlfn.XLOOKUP(data[[#This Row],[ticker]],yf_desc[ticker],yf_desc[longBusinessSummary],"-")</f>
        <v>-</v>
      </c>
      <c r="T101" s="4"/>
    </row>
    <row r="102" spans="1:20" x14ac:dyDescent="0.25">
      <c r="A102" s="4" t="s">
        <v>444</v>
      </c>
      <c r="B102" s="4" t="s">
        <v>40</v>
      </c>
      <c r="C102" s="4" t="s">
        <v>450</v>
      </c>
      <c r="D102" s="4" t="s">
        <v>445</v>
      </c>
      <c r="E102" s="4" t="s">
        <v>454</v>
      </c>
      <c r="F102" s="4" cm="1">
        <f t="array" ref="F102">_xlfn.SWITCH(data[[#This Row],[diffusion_type]],"lognormal",0.0001,"normal",-0.01)*IF(data[[#This Row],[asset_class]]="Vol",1,1)</f>
        <v>1E-4</v>
      </c>
      <c r="G102" s="4"/>
      <c r="H102" s="4"/>
      <c r="I102" s="4"/>
      <c r="J102" s="4" t="str" cm="1">
        <f t="array" ref="J102">_xlfn.XLOOKUP(data[[#This Row],[factor_name]],_xlfn.ANCHORARRAY(composites!$I$2),_xlfn.ANCHORARRAY(composites!$J$2))</f>
        <v>GLD 0.65, USO 0.3, ^VIX3M -0.15, FEZ -0.05</v>
      </c>
      <c r="K102" s="4">
        <v>1</v>
      </c>
      <c r="L102" s="4">
        <v>1</v>
      </c>
      <c r="M102" s="4">
        <v>1</v>
      </c>
      <c r="N102" s="4">
        <v>0</v>
      </c>
      <c r="O102" s="4" t="str">
        <f>data[[#This Row],[factor_name]]</f>
        <v>GEOPOLITICS</v>
      </c>
      <c r="P102" s="4" t="str" cm="1">
        <f t="array" ref="P102">_xlfn.IFS(data[[#This Row],[description_override]]&lt;&gt;"",data[[#This Row],[description_override]],data[[#This Row],[Description_GPT]]&lt;&gt;"",data[[#This Row],[Description_GPT]],data[[#This Row],[Underlying]]&lt;&gt;"",data[[#This Row],[Underlying]],TRUE,"-")</f>
        <v>GLD 0.65, USO 0.3, ^VIX3M -0.15, FEZ -0.05</v>
      </c>
      <c r="Q102" s="4" t="str">
        <f>_xlfn.XLOOKUP(data[[#This Row],[ticker]],yf_desc[ticker],yf_desc[shortName],"-")</f>
        <v>-</v>
      </c>
      <c r="R102" s="4" t="str">
        <f>_xlfn.XLOOKUP(data[[#This Row],[ticker]],yf_desc[ticker],yf_desc[longName],"-")</f>
        <v>-</v>
      </c>
      <c r="S102" s="4" t="str">
        <f>_xlfn.XLOOKUP(data[[#This Row],[ticker]],yf_desc[ticker],yf_desc[longBusinessSummary],"-")</f>
        <v>-</v>
      </c>
      <c r="T102" s="4"/>
    </row>
    <row r="103" spans="1:20" x14ac:dyDescent="0.25">
      <c r="A103" s="4" t="s">
        <v>444</v>
      </c>
      <c r="B103" s="4" t="s">
        <v>40</v>
      </c>
      <c r="C103" s="4" t="s">
        <v>500</v>
      </c>
      <c r="D103" s="4" t="s">
        <v>445</v>
      </c>
      <c r="E103" s="4" t="s">
        <v>454</v>
      </c>
      <c r="F103" s="4" cm="1">
        <f t="array" ref="F103">_xlfn.SWITCH(data[[#This Row],[diffusion_type]],"lognormal",0.0001,"normal",-0.01)*IF(data[[#This Row],[asset_class]]="Vol",1,1)</f>
        <v>1E-4</v>
      </c>
      <c r="G103" s="4"/>
      <c r="H103" s="4"/>
      <c r="I103" s="4"/>
      <c r="J103" s="4" t="str" cm="1">
        <f t="array" ref="J103">_xlfn.XLOOKUP(data[[#This Row],[factor_name]],_xlfn.ANCHORARRAY(composites!$I$2),_xlfn.ANCHORARRAY(composites!$J$2))</f>
        <v>GLD 0.21, FXY 0.30, FXF 0.37, ^VIX3M -0.04, XLP 0.15, XLY -0.15</v>
      </c>
      <c r="K103" s="4">
        <v>1</v>
      </c>
      <c r="L103" s="4">
        <v>1</v>
      </c>
      <c r="M103" s="4">
        <v>1</v>
      </c>
      <c r="N103" s="4">
        <v>0</v>
      </c>
      <c r="O103" s="4" t="str">
        <f>data[[#This Row],[factor_name]]</f>
        <v>TRADEWAR</v>
      </c>
      <c r="P103" s="4" t="str" cm="1">
        <f t="array" ref="P103">_xlfn.IFS(data[[#This Row],[description_override]]&lt;&gt;"",data[[#This Row],[description_override]],data[[#This Row],[Description_GPT]]&lt;&gt;"",data[[#This Row],[Description_GPT]],data[[#This Row],[Underlying]]&lt;&gt;"",data[[#This Row],[Underlying]],TRUE,"-")</f>
        <v>GLD 0.21, FXY 0.30, FXF 0.37, ^VIX3M -0.04, XLP 0.15, XLY -0.15</v>
      </c>
      <c r="Q103" s="4" t="str">
        <f>_xlfn.XLOOKUP(data[[#This Row],[ticker]],yf_desc[ticker],yf_desc[shortName],"-")</f>
        <v>-</v>
      </c>
      <c r="R103" s="4" t="str">
        <f>_xlfn.XLOOKUP(data[[#This Row],[ticker]],yf_desc[ticker],yf_desc[longName],"-")</f>
        <v>-</v>
      </c>
      <c r="S103" s="4" t="str">
        <f>_xlfn.XLOOKUP(data[[#This Row],[ticker]],yf_desc[ticker],yf_desc[longBusinessSummary],"-")</f>
        <v>-</v>
      </c>
      <c r="T103" s="4"/>
    </row>
    <row r="104" spans="1:20" x14ac:dyDescent="0.25">
      <c r="A104" s="4" t="s">
        <v>444</v>
      </c>
      <c r="B104" s="4" t="s">
        <v>40</v>
      </c>
      <c r="C104" s="4" t="s">
        <v>722</v>
      </c>
      <c r="D104" s="4" t="s">
        <v>445</v>
      </c>
      <c r="E104" s="4" t="s">
        <v>454</v>
      </c>
      <c r="F104" s="4" cm="1">
        <f t="array" ref="F104">_xlfn.SWITCH(data[[#This Row],[diffusion_type]],"lognormal",0.0001,"normal",-0.01)*IF(data[[#This Row],[asset_class]]="Vol",1,1)</f>
        <v>1E-4</v>
      </c>
      <c r="G104" s="4"/>
      <c r="H104" s="4"/>
      <c r="I104" s="4"/>
      <c r="J104" s="4" t="str" cm="1">
        <f t="array" ref="J104">_xlfn.XLOOKUP(data[[#This Row],[factor_name]],_xlfn.ANCHORARRAY(composites!$I$2),_xlfn.ANCHORARRAY(composites!$J$2))</f>
        <v>USO 1</v>
      </c>
      <c r="K104" s="4">
        <v>1</v>
      </c>
      <c r="L104" s="4">
        <v>1</v>
      </c>
      <c r="M104" s="4">
        <v>1</v>
      </c>
      <c r="N104" s="4">
        <v>0</v>
      </c>
      <c r="O104" s="4" t="str">
        <f>data[[#This Row],[factor_name]]</f>
        <v>IRAN</v>
      </c>
      <c r="P104" s="4" t="str" cm="1">
        <f t="array" ref="P104">_xlfn.IFS(data[[#This Row],[description_override]]&lt;&gt;"",data[[#This Row],[description_override]],data[[#This Row],[Description_GPT]]&lt;&gt;"",data[[#This Row],[Description_GPT]],data[[#This Row],[Underlying]]&lt;&gt;"",data[[#This Row],[Underlying]],TRUE,"-")</f>
        <v>USO 1</v>
      </c>
      <c r="Q104" s="4" t="str">
        <f>_xlfn.XLOOKUP(data[[#This Row],[ticker]],yf_desc[ticker],yf_desc[shortName],"-")</f>
        <v>-</v>
      </c>
      <c r="R104" s="4" t="str">
        <f>_xlfn.XLOOKUP(data[[#This Row],[ticker]],yf_desc[ticker],yf_desc[longName],"-")</f>
        <v>-</v>
      </c>
      <c r="S104" s="4" t="str">
        <f>_xlfn.XLOOKUP(data[[#This Row],[ticker]],yf_desc[ticker],yf_desc[longBusinessSummary],"-")</f>
        <v>-</v>
      </c>
      <c r="T104" s="4"/>
    </row>
    <row r="105" spans="1:20" x14ac:dyDescent="0.25">
      <c r="A105" s="4" t="s">
        <v>444</v>
      </c>
      <c r="B105" s="4" t="s">
        <v>40</v>
      </c>
      <c r="C105" s="4" t="s">
        <v>723</v>
      </c>
      <c r="D105" s="4" t="s">
        <v>445</v>
      </c>
      <c r="E105" s="4" t="s">
        <v>454</v>
      </c>
      <c r="F105" s="4" cm="1">
        <f t="array" ref="F105">_xlfn.SWITCH(data[[#This Row],[diffusion_type]],"lognormal",0.0001,"normal",-0.01)*IF(data[[#This Row],[asset_class]]="Vol",1,1)</f>
        <v>1E-4</v>
      </c>
      <c r="G105" s="4"/>
      <c r="H105" s="4"/>
      <c r="I105" s="4"/>
      <c r="J105" s="4" t="str" cm="1">
        <f t="array" ref="J105">_xlfn.XLOOKUP(data[[#This Row],[factor_name]],_xlfn.ANCHORARRAY(composites!$I$2),_xlfn.ANCHORARRAY(composites!$J$2))</f>
        <v>SMH 1, IGV -1, QQQ 1</v>
      </c>
      <c r="K105" s="4">
        <v>1</v>
      </c>
      <c r="L105" s="4">
        <v>1</v>
      </c>
      <c r="M105" s="4">
        <v>1</v>
      </c>
      <c r="N105" s="4">
        <v>0</v>
      </c>
      <c r="O105" s="4" t="str">
        <f>data[[#This Row],[factor_name]]</f>
        <v>SEMI-SOFT</v>
      </c>
      <c r="P105" s="4" t="str" cm="1">
        <f t="array" ref="P105">_xlfn.IFS(data[[#This Row],[description_override]]&lt;&gt;"",data[[#This Row],[description_override]],data[[#This Row],[Description_GPT]]&lt;&gt;"",data[[#This Row],[Description_GPT]],data[[#This Row],[Underlying]]&lt;&gt;"",data[[#This Row],[Underlying]],TRUE,"-")</f>
        <v>SMH 1, IGV -1, QQQ 1</v>
      </c>
      <c r="Q105" s="4" t="str">
        <f>_xlfn.XLOOKUP(data[[#This Row],[ticker]],yf_desc[ticker],yf_desc[shortName],"-")</f>
        <v>-</v>
      </c>
      <c r="R105" s="4" t="str">
        <f>_xlfn.XLOOKUP(data[[#This Row],[ticker]],yf_desc[ticker],yf_desc[longName],"-")</f>
        <v>-</v>
      </c>
      <c r="S105" s="4" t="str">
        <f>_xlfn.XLOOKUP(data[[#This Row],[ticker]],yf_desc[ticker],yf_desc[longBusinessSummary],"-")</f>
        <v>-</v>
      </c>
      <c r="T105" s="4"/>
    </row>
    <row r="106" spans="1:20" x14ac:dyDescent="0.25">
      <c r="A106" s="4" t="s">
        <v>128</v>
      </c>
      <c r="B106" s="4" t="s">
        <v>40</v>
      </c>
      <c r="C106" s="4" t="s">
        <v>451</v>
      </c>
      <c r="D106" s="4" t="s">
        <v>445</v>
      </c>
      <c r="E106" s="4" t="s">
        <v>454</v>
      </c>
      <c r="F106" s="4" cm="1">
        <f t="array" ref="F106">_xlfn.SWITCH(data[[#This Row],[diffusion_type]],"lognormal",0.0001,"normal",-0.01)*IF(data[[#This Row],[asset_class]]="Vol",1,1)</f>
        <v>1E-4</v>
      </c>
      <c r="G106" s="4"/>
      <c r="H106" s="4"/>
      <c r="I106" s="4"/>
      <c r="J106" s="4" t="str" cm="1">
        <f t="array" ref="J106">_xlfn.XLOOKUP(data[[#This Row],[factor_name]],_xlfn.ANCHORARRAY(composites!$I$2),_xlfn.ANCHORARRAY(composites!$J$2))</f>
        <v>SHY -3.86, IEF 1</v>
      </c>
      <c r="K106" s="4">
        <v>1</v>
      </c>
      <c r="L106" s="4">
        <v>1</v>
      </c>
      <c r="M106" s="4">
        <v>1</v>
      </c>
      <c r="N106" s="4">
        <v>0</v>
      </c>
      <c r="O106" s="4" t="str">
        <f>data[[#This Row],[factor_name]]</f>
        <v>2s10s</v>
      </c>
      <c r="P106" s="4" t="str" cm="1">
        <f t="array" ref="P106">_xlfn.IFS(data[[#This Row],[description_override]]&lt;&gt;"",data[[#This Row],[description_override]],data[[#This Row],[Description_GPT]]&lt;&gt;"",data[[#This Row],[Description_GPT]],data[[#This Row],[Underlying]]&lt;&gt;"",data[[#This Row],[Underlying]],TRUE,"-")</f>
        <v>SHY -3.86, IEF 1</v>
      </c>
      <c r="Q106" s="4" t="str">
        <f>_xlfn.XLOOKUP(data[[#This Row],[ticker]],yf_desc[ticker],yf_desc[shortName],"-")</f>
        <v>-</v>
      </c>
      <c r="R106" s="4" t="str">
        <f>_xlfn.XLOOKUP(data[[#This Row],[ticker]],yf_desc[ticker],yf_desc[longName],"-")</f>
        <v>-</v>
      </c>
      <c r="S106" s="4" t="str">
        <f>_xlfn.XLOOKUP(data[[#This Row],[ticker]],yf_desc[ticker],yf_desc[longBusinessSummary],"-")</f>
        <v>-</v>
      </c>
      <c r="T106" s="4"/>
    </row>
    <row r="107" spans="1:20" x14ac:dyDescent="0.25">
      <c r="A107" s="4" t="s">
        <v>39</v>
      </c>
      <c r="B107" s="4" t="s">
        <v>40</v>
      </c>
      <c r="C107" s="4" t="s">
        <v>503</v>
      </c>
      <c r="D107" s="4" t="s">
        <v>445</v>
      </c>
      <c r="E107" s="4" t="s">
        <v>454</v>
      </c>
      <c r="F107" s="4" cm="1">
        <f t="array" ref="F107">_xlfn.SWITCH(data[[#This Row],[diffusion_type]],"lognormal",0.0001,"normal",-0.01)*IF(data[[#This Row],[asset_class]]="Vol",1,1)</f>
        <v>1E-4</v>
      </c>
      <c r="G107" s="4"/>
      <c r="H107" s="4" t="s">
        <v>505</v>
      </c>
      <c r="I107" s="4"/>
      <c r="J107" s="4" t="str" cm="1">
        <f t="array" ref="J107">_xlfn.XLOOKUP(data[[#This Row],[factor_name]],_xlfn.ANCHORARRAY(composites!$I$2),_xlfn.ANCHORARRAY(composites!$J$2))</f>
        <v>XLP 1, XLY -1</v>
      </c>
      <c r="K107" s="4">
        <v>1</v>
      </c>
      <c r="L107" s="4">
        <v>1</v>
      </c>
      <c r="M107" s="4">
        <v>1</v>
      </c>
      <c r="N107" s="4">
        <v>0</v>
      </c>
      <c r="O107" s="4" t="str">
        <f>data[[#This Row],[factor_name]]</f>
        <v>XLPXLY</v>
      </c>
      <c r="P107" s="4" t="str" cm="1">
        <f t="array" ref="P107">_xlfn.IFS(data[[#This Row],[description_override]]&lt;&gt;"",data[[#This Row],[description_override]],data[[#This Row],[Description_GPT]]&lt;&gt;"",data[[#This Row],[Description_GPT]],data[[#This Row],[Underlying]]&lt;&gt;"",data[[#This Row],[Underlying]],TRUE,"-")</f>
        <v>Staples/Discretionary</v>
      </c>
      <c r="Q107" s="4" t="str">
        <f>_xlfn.XLOOKUP(data[[#This Row],[ticker]],yf_desc[ticker],yf_desc[shortName],"-")</f>
        <v>-</v>
      </c>
      <c r="R107" s="4" t="str">
        <f>_xlfn.XLOOKUP(data[[#This Row],[ticker]],yf_desc[ticker],yf_desc[longName],"-")</f>
        <v>-</v>
      </c>
      <c r="S107" s="4" t="str">
        <f>_xlfn.XLOOKUP(data[[#This Row],[ticker]],yf_desc[ticker],yf_desc[longBusinessSummary],"-")</f>
        <v>-</v>
      </c>
      <c r="T107" s="4"/>
    </row>
    <row r="108" spans="1:20" x14ac:dyDescent="0.25">
      <c r="A108" s="4" t="s">
        <v>527</v>
      </c>
      <c r="B108" s="4" t="s">
        <v>40</v>
      </c>
      <c r="C108" s="4" t="s">
        <v>528</v>
      </c>
      <c r="D108" s="4" t="s">
        <v>529</v>
      </c>
      <c r="E108" s="4" t="s">
        <v>467</v>
      </c>
      <c r="F108" s="4">
        <v>0.01</v>
      </c>
      <c r="G108" s="4"/>
      <c r="H108" s="4"/>
      <c r="I108" s="4"/>
      <c r="J108" s="4" t="s">
        <v>530</v>
      </c>
      <c r="K108" s="4">
        <v>0</v>
      </c>
      <c r="L108" s="4">
        <v>0</v>
      </c>
      <c r="M108" s="4">
        <v>0</v>
      </c>
      <c r="N108" s="4">
        <v>0</v>
      </c>
      <c r="O108" s="11" t="s">
        <v>531</v>
      </c>
      <c r="P108" s="4" t="str" cm="1">
        <f t="array" ref="P108">_xlfn.IFS(data[[#This Row],[description_override]]&lt;&gt;"",data[[#This Row],[description_override]],data[[#This Row],[Description_GPT]]&lt;&gt;"",data[[#This Row],[Description_GPT]],data[[#This Row],[Underlying]]&lt;&gt;"",data[[#This Row],[Underlying]],TRUE,"-")</f>
        <v>Economic Policy Uncertainty Index for United States</v>
      </c>
      <c r="Q108" s="11" t="str">
        <f>_xlfn.XLOOKUP(data[[#This Row],[ticker]],yf_desc[ticker],yf_desc[shortName],"-")</f>
        <v>-</v>
      </c>
      <c r="R108" s="11" t="str">
        <f>_xlfn.XLOOKUP(data[[#This Row],[ticker]],yf_desc[ticker],yf_desc[longName],"-")</f>
        <v>-</v>
      </c>
      <c r="S108" s="11" t="str">
        <f>_xlfn.XLOOKUP(data[[#This Row],[ticker]],yf_desc[ticker],yf_desc[longBusinessSummary],"-")</f>
        <v>-</v>
      </c>
      <c r="T108" s="4"/>
    </row>
    <row r="109" spans="1:20" x14ac:dyDescent="0.25">
      <c r="A109" s="4" t="s">
        <v>65</v>
      </c>
      <c r="B109" s="4" t="s">
        <v>40</v>
      </c>
      <c r="C109" s="4" t="s">
        <v>682</v>
      </c>
      <c r="D109" s="4" t="s">
        <v>686</v>
      </c>
      <c r="E109" s="4" t="s">
        <v>454</v>
      </c>
      <c r="F109" s="4" cm="1">
        <f t="array" ref="F109">_xlfn.SWITCH(data[[#This Row],[diffusion_type]],"lognormal",0.0001,"normal",-0.01)*IF(data[[#This Row],[asset_class]]="Vol",1,1)</f>
        <v>1E-4</v>
      </c>
      <c r="G109" s="4"/>
      <c r="H109" s="4"/>
      <c r="I109" s="4"/>
      <c r="J109" s="4"/>
      <c r="K109" s="4">
        <v>1</v>
      </c>
      <c r="L109" s="4">
        <v>0</v>
      </c>
      <c r="M109" s="4">
        <v>0</v>
      </c>
      <c r="N109" s="4">
        <v>0</v>
      </c>
      <c r="O109" s="4" t="s">
        <v>684</v>
      </c>
      <c r="P109" s="4" t="str" cm="1">
        <f t="array" ref="P109">_xlfn.IFS(data[[#This Row],[description_override]]&lt;&gt;"",data[[#This Row],[description_override]],data[[#This Row],[Description_GPT]]&lt;&gt;"",data[[#This Row],[Description_GPT]],data[[#This Row],[Underlying]]&lt;&gt;"",data[[#This Row],[Underlying]],TRUE,"-")</f>
        <v>-</v>
      </c>
      <c r="Q109" s="4" t="str">
        <f>_xlfn.XLOOKUP(data[[#This Row],[ticker]],yf_desc[ticker],yf_desc[shortName],"-")</f>
        <v>-</v>
      </c>
      <c r="R109" s="4" t="str">
        <f>_xlfn.XLOOKUP(data[[#This Row],[ticker]],yf_desc[ticker],yf_desc[longName],"-")</f>
        <v>-</v>
      </c>
      <c r="S109" s="4" t="str">
        <f>_xlfn.XLOOKUP(data[[#This Row],[ticker]],yf_desc[ticker],yf_desc[longBusinessSummary],"-")</f>
        <v>-</v>
      </c>
      <c r="T109" s="4"/>
    </row>
    <row r="110" spans="1:20" x14ac:dyDescent="0.25">
      <c r="A110" s="4" t="s">
        <v>475</v>
      </c>
      <c r="B110" s="4" t="s">
        <v>40</v>
      </c>
      <c r="C110" s="4" t="s">
        <v>683</v>
      </c>
      <c r="D110" s="4" t="s">
        <v>686</v>
      </c>
      <c r="E110" s="4" t="s">
        <v>467</v>
      </c>
      <c r="F110" s="4" cm="1">
        <f t="array" ref="F110">_xlfn.SWITCH(data[[#This Row],[diffusion_type]],"lognormal",0.0001,"normal",-0.01)*IF(data[[#This Row],[asset_class]]="Vol",1,1)</f>
        <v>-0.01</v>
      </c>
      <c r="G110" s="4"/>
      <c r="H110" s="4"/>
      <c r="I110" s="4"/>
      <c r="J110" s="4"/>
      <c r="K110" s="4">
        <v>1</v>
      </c>
      <c r="L110" s="4">
        <v>0</v>
      </c>
      <c r="M110" s="4">
        <v>0</v>
      </c>
      <c r="N110" s="4">
        <v>0</v>
      </c>
      <c r="O110" s="4" t="s">
        <v>685</v>
      </c>
      <c r="P110" s="4" t="str" cm="1">
        <f t="array" ref="P110">_xlfn.IFS(data[[#This Row],[description_override]]&lt;&gt;"",data[[#This Row],[description_override]],data[[#This Row],[Description_GPT]]&lt;&gt;"",data[[#This Row],[Description_GPT]],data[[#This Row],[Underlying]]&lt;&gt;"",data[[#This Row],[Underlying]],TRUE,"-")</f>
        <v>-</v>
      </c>
      <c r="Q110" s="4" t="str">
        <f>_xlfn.XLOOKUP(data[[#This Row],[ticker]],yf_desc[ticker],yf_desc[shortName],"-")</f>
        <v>-</v>
      </c>
      <c r="R110" s="4" t="str">
        <f>_xlfn.XLOOKUP(data[[#This Row],[ticker]],yf_desc[ticker],yf_desc[longName],"-")</f>
        <v>-</v>
      </c>
      <c r="S110" s="4" t="str">
        <f>_xlfn.XLOOKUP(data[[#This Row],[ticker]],yf_desc[ticker],yf_desc[longBusinessSummary],"-")</f>
        <v>-</v>
      </c>
      <c r="T110" s="4"/>
    </row>
  </sheetData>
  <phoneticPr fontId="2" type="noConversion"/>
  <conditionalFormatting sqref="E113:E116">
    <cfRule type="expression" dxfId="0" priority="1">
      <formula>$Q109</formula>
    </cfRule>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1690-4C72-4E94-925C-89FAF286C7F8}">
  <dimension ref="A1:H6"/>
  <sheetViews>
    <sheetView showGridLines="0" workbookViewId="0">
      <selection activeCell="C1" sqref="C1"/>
    </sheetView>
  </sheetViews>
  <sheetFormatPr defaultRowHeight="15" x14ac:dyDescent="0.25"/>
  <sheetData>
    <row r="1" spans="1:8" x14ac:dyDescent="0.25">
      <c r="A1" t="s">
        <v>2</v>
      </c>
      <c r="B1" t="s">
        <v>322</v>
      </c>
      <c r="C1" t="s">
        <v>316</v>
      </c>
      <c r="D1" t="s">
        <v>466</v>
      </c>
      <c r="E1" t="s">
        <v>465</v>
      </c>
      <c r="F1" t="s">
        <v>464</v>
      </c>
      <c r="G1" t="s">
        <v>463</v>
      </c>
      <c r="H1" t="s">
        <v>462</v>
      </c>
    </row>
    <row r="2" spans="1:8" x14ac:dyDescent="0.25">
      <c r="A2" t="s">
        <v>0</v>
      </c>
      <c r="B2" t="s">
        <v>39</v>
      </c>
      <c r="C2" t="s">
        <v>40</v>
      </c>
      <c r="D2" t="s">
        <v>455</v>
      </c>
      <c r="E2" t="s">
        <v>4</v>
      </c>
      <c r="F2" t="s">
        <v>454</v>
      </c>
      <c r="G2" t="s">
        <v>457</v>
      </c>
      <c r="H2">
        <v>0</v>
      </c>
    </row>
    <row r="3" spans="1:8" x14ac:dyDescent="0.25">
      <c r="A3" t="s">
        <v>461</v>
      </c>
      <c r="B3" t="s">
        <v>39</v>
      </c>
      <c r="C3" t="s">
        <v>40</v>
      </c>
      <c r="D3" t="s">
        <v>455</v>
      </c>
      <c r="E3" t="s">
        <v>5</v>
      </c>
      <c r="F3" t="s">
        <v>454</v>
      </c>
      <c r="G3" t="s">
        <v>457</v>
      </c>
      <c r="H3" t="s">
        <v>460</v>
      </c>
    </row>
    <row r="4" spans="1:8" x14ac:dyDescent="0.25">
      <c r="A4" t="s">
        <v>95</v>
      </c>
      <c r="B4" t="s">
        <v>39</v>
      </c>
      <c r="C4" t="s">
        <v>68</v>
      </c>
      <c r="D4" t="s">
        <v>455</v>
      </c>
      <c r="E4" t="s">
        <v>459</v>
      </c>
      <c r="F4" t="s">
        <v>454</v>
      </c>
      <c r="G4" t="s">
        <v>457</v>
      </c>
      <c r="H4">
        <v>0</v>
      </c>
    </row>
    <row r="5" spans="1:8" x14ac:dyDescent="0.25">
      <c r="A5" t="s">
        <v>238</v>
      </c>
      <c r="B5" t="s">
        <v>128</v>
      </c>
      <c r="C5" t="s">
        <v>40</v>
      </c>
      <c r="D5" t="s">
        <v>455</v>
      </c>
      <c r="E5" t="s">
        <v>458</v>
      </c>
      <c r="F5" t="s">
        <v>467</v>
      </c>
      <c r="G5" t="s">
        <v>457</v>
      </c>
      <c r="H5">
        <v>0</v>
      </c>
    </row>
    <row r="6" spans="1:8" x14ac:dyDescent="0.25">
      <c r="A6" t="s">
        <v>456</v>
      </c>
      <c r="B6" t="s">
        <v>128</v>
      </c>
      <c r="C6" t="s">
        <v>40</v>
      </c>
      <c r="D6" t="s">
        <v>455</v>
      </c>
      <c r="E6" t="s">
        <v>131</v>
      </c>
      <c r="F6" t="s">
        <v>454</v>
      </c>
      <c r="G6" t="s">
        <v>453</v>
      </c>
      <c r="H6" t="s">
        <v>452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4DEF-E706-4B9C-B282-71F34F86B3DF}">
  <dimension ref="A1:J85"/>
  <sheetViews>
    <sheetView showGridLines="0" workbookViewId="0">
      <pane xSplit="1" ySplit="1" topLeftCell="B42" activePane="bottomRight" state="frozen"/>
      <selection pane="topRight" activeCell="B1" sqref="B1"/>
      <selection pane="bottomLeft" activeCell="A2" sqref="A2"/>
      <selection pane="bottomRight" activeCell="A63" sqref="A63"/>
    </sheetView>
  </sheetViews>
  <sheetFormatPr defaultRowHeight="15" x14ac:dyDescent="0.25"/>
  <cols>
    <col min="6" max="6" width="44.28515625" bestFit="1" customWidth="1"/>
  </cols>
  <sheetData>
    <row r="1" spans="1:10" x14ac:dyDescent="0.25">
      <c r="A1" t="s">
        <v>2</v>
      </c>
      <c r="B1" t="s">
        <v>322</v>
      </c>
      <c r="C1" t="s">
        <v>316</v>
      </c>
      <c r="D1" t="s">
        <v>428</v>
      </c>
      <c r="E1" t="s">
        <v>445</v>
      </c>
      <c r="F1" t="s">
        <v>19</v>
      </c>
      <c r="G1" t="s">
        <v>466</v>
      </c>
      <c r="H1" t="s">
        <v>465</v>
      </c>
      <c r="I1" t="s">
        <v>464</v>
      </c>
      <c r="J1" t="s">
        <v>468</v>
      </c>
    </row>
    <row r="2" spans="1:10" x14ac:dyDescent="0.25">
      <c r="A2" t="str" cm="1">
        <f t="array" ref="A2:A85">_xlfn._xlws.FILTER(data[factor_name],data[Active])</f>
        <v>SPY</v>
      </c>
      <c r="B2" t="str" cm="1">
        <f t="array" ref="B2:J85">INDEX(data[],_xlfn.XMATCH(_xlfn.ANCHORARRAY(A2),data[factor_name]),_xlfn.XMATCH(B1:J1,data[#Headers]))</f>
        <v>Equities</v>
      </c>
      <c r="C2" t="str">
        <v>USD</v>
      </c>
      <c r="D2">
        <v>1</v>
      </c>
      <c r="E2">
        <v>0</v>
      </c>
      <c r="F2" t="str">
        <v>S&amp;P 500</v>
      </c>
      <c r="G2" t="str">
        <v>yfinance</v>
      </c>
      <c r="H2" t="str">
        <v>SPY</v>
      </c>
      <c r="I2" t="str">
        <v>lognormal</v>
      </c>
      <c r="J2">
        <v>1E-4</v>
      </c>
    </row>
    <row r="3" spans="1:10" x14ac:dyDescent="0.25">
      <c r="A3" t="str">
        <v>IWM</v>
      </c>
      <c r="B3" t="str">
        <v>Equities</v>
      </c>
      <c r="C3" t="str">
        <v>USD</v>
      </c>
      <c r="D3">
        <v>0</v>
      </c>
      <c r="E3">
        <v>0</v>
      </c>
      <c r="F3" t="str">
        <v>Russell 2000</v>
      </c>
      <c r="G3" t="str">
        <v>yfinance</v>
      </c>
      <c r="H3" t="str">
        <v>IWM</v>
      </c>
      <c r="I3" t="str">
        <v>lognormal</v>
      </c>
      <c r="J3">
        <v>1E-4</v>
      </c>
    </row>
    <row r="4" spans="1:10" x14ac:dyDescent="0.25">
      <c r="A4" t="str">
        <v>MDY</v>
      </c>
      <c r="B4" t="str">
        <v>Equities</v>
      </c>
      <c r="C4" t="str">
        <v>USD</v>
      </c>
      <c r="D4">
        <v>0</v>
      </c>
      <c r="E4">
        <v>0</v>
      </c>
      <c r="F4" t="str">
        <v>S&amp;P 400</v>
      </c>
      <c r="G4" t="str">
        <v>yfinance</v>
      </c>
      <c r="H4" t="str">
        <v>MDY</v>
      </c>
      <c r="I4" t="str">
        <v>lognormal</v>
      </c>
      <c r="J4">
        <v>1E-4</v>
      </c>
    </row>
    <row r="5" spans="1:10" x14ac:dyDescent="0.25">
      <c r="A5" t="str">
        <v>RSP</v>
      </c>
      <c r="B5" t="str">
        <v>Equities</v>
      </c>
      <c r="C5" t="str">
        <v>USD</v>
      </c>
      <c r="D5">
        <v>0</v>
      </c>
      <c r="E5">
        <v>0</v>
      </c>
      <c r="F5" t="str">
        <v>S&amp;P 500 EW</v>
      </c>
      <c r="G5" t="str">
        <v>yfinance</v>
      </c>
      <c r="H5" t="str">
        <v>RSP</v>
      </c>
      <c r="I5" t="str">
        <v>lognormal</v>
      </c>
      <c r="J5">
        <v>1E-4</v>
      </c>
    </row>
    <row r="6" spans="1:10" x14ac:dyDescent="0.25">
      <c r="A6" t="str">
        <v>QQQ</v>
      </c>
      <c r="B6" t="str">
        <v>Equities</v>
      </c>
      <c r="C6" t="str">
        <v>USD</v>
      </c>
      <c r="D6">
        <v>0</v>
      </c>
      <c r="E6">
        <v>0</v>
      </c>
      <c r="F6" t="str">
        <v>Nasdaq 100</v>
      </c>
      <c r="G6" t="str">
        <v>yfinance</v>
      </c>
      <c r="H6" t="str">
        <v>QQQ</v>
      </c>
      <c r="I6" t="str">
        <v>lognormal</v>
      </c>
      <c r="J6">
        <v>1E-4</v>
      </c>
    </row>
    <row r="7" spans="1:10" x14ac:dyDescent="0.25">
      <c r="A7" t="str">
        <v>DIA</v>
      </c>
      <c r="B7" t="str">
        <v>Equities</v>
      </c>
      <c r="C7" t="str">
        <v>USD</v>
      </c>
      <c r="D7">
        <v>0</v>
      </c>
      <c r="E7">
        <v>0</v>
      </c>
      <c r="F7" t="str">
        <v>Dow Jones 30</v>
      </c>
      <c r="G7" t="str">
        <v>yfinance</v>
      </c>
      <c r="H7" t="str">
        <v>DIA</v>
      </c>
      <c r="I7" t="str">
        <v>lognormal</v>
      </c>
      <c r="J7">
        <v>1E-4</v>
      </c>
    </row>
    <row r="8" spans="1:10" x14ac:dyDescent="0.25">
      <c r="A8" t="str">
        <v>XLK</v>
      </c>
      <c r="B8" t="str">
        <v>Sector</v>
      </c>
      <c r="C8" t="str">
        <v>USD</v>
      </c>
      <c r="D8">
        <v>0</v>
      </c>
      <c r="E8">
        <v>0</v>
      </c>
      <c r="F8" t="str">
        <v>Technology</v>
      </c>
      <c r="G8" t="str">
        <v>yfinance</v>
      </c>
      <c r="H8" t="str">
        <v>XLK</v>
      </c>
      <c r="I8" t="str">
        <v>lognormal</v>
      </c>
      <c r="J8">
        <v>1E-4</v>
      </c>
    </row>
    <row r="9" spans="1:10" x14ac:dyDescent="0.25">
      <c r="A9" t="str">
        <v>XLI</v>
      </c>
      <c r="B9" t="str">
        <v>Sector</v>
      </c>
      <c r="C9" t="str">
        <v>USD</v>
      </c>
      <c r="D9">
        <v>0</v>
      </c>
      <c r="E9">
        <v>0</v>
      </c>
      <c r="F9" t="str">
        <v>Industrials</v>
      </c>
      <c r="G9" t="str">
        <v>yfinance</v>
      </c>
      <c r="H9" t="str">
        <v>XLI</v>
      </c>
      <c r="I9" t="str">
        <v>lognormal</v>
      </c>
      <c r="J9">
        <v>1E-4</v>
      </c>
    </row>
    <row r="10" spans="1:10" x14ac:dyDescent="0.25">
      <c r="A10" t="str">
        <v>XLF</v>
      </c>
      <c r="B10" t="str">
        <v>Sector</v>
      </c>
      <c r="C10" t="str">
        <v>USD</v>
      </c>
      <c r="D10">
        <v>0</v>
      </c>
      <c r="E10">
        <v>0</v>
      </c>
      <c r="F10" t="str">
        <v>Financials</v>
      </c>
      <c r="G10" t="str">
        <v>yfinance</v>
      </c>
      <c r="H10" t="str">
        <v>XLF</v>
      </c>
      <c r="I10" t="str">
        <v>lognormal</v>
      </c>
      <c r="J10">
        <v>1E-4</v>
      </c>
    </row>
    <row r="11" spans="1:10" x14ac:dyDescent="0.25">
      <c r="A11" t="str">
        <v>KRE</v>
      </c>
      <c r="B11" t="str">
        <v>Sector</v>
      </c>
      <c r="C11" t="str">
        <v>USD</v>
      </c>
      <c r="D11">
        <v>0</v>
      </c>
      <c r="E11">
        <v>0</v>
      </c>
      <c r="F11" t="str">
        <v>Regional Banks</v>
      </c>
      <c r="G11" t="str">
        <v>yfinance</v>
      </c>
      <c r="H11" t="str">
        <v>KRE</v>
      </c>
      <c r="I11" t="str">
        <v>lognormal</v>
      </c>
      <c r="J11">
        <v>1E-4</v>
      </c>
    </row>
    <row r="12" spans="1:10" x14ac:dyDescent="0.25">
      <c r="A12" t="str">
        <v>XLC</v>
      </c>
      <c r="B12" t="str">
        <v>Sector</v>
      </c>
      <c r="C12" t="str">
        <v>USD</v>
      </c>
      <c r="D12">
        <v>0</v>
      </c>
      <c r="E12">
        <v>0</v>
      </c>
      <c r="F12" t="str">
        <v>Communications</v>
      </c>
      <c r="G12" t="str">
        <v>yfinance</v>
      </c>
      <c r="H12" t="str">
        <v>XLC</v>
      </c>
      <c r="I12" t="str">
        <v>lognormal</v>
      </c>
      <c r="J12">
        <v>1E-4</v>
      </c>
    </row>
    <row r="13" spans="1:10" x14ac:dyDescent="0.25">
      <c r="A13" t="str">
        <v>XLE</v>
      </c>
      <c r="B13" t="str">
        <v>Sector</v>
      </c>
      <c r="C13" t="str">
        <v>USD</v>
      </c>
      <c r="D13">
        <v>0</v>
      </c>
      <c r="E13">
        <v>0</v>
      </c>
      <c r="F13" t="str">
        <v>Energy</v>
      </c>
      <c r="G13" t="str">
        <v>yfinance</v>
      </c>
      <c r="H13" t="str">
        <v>XLE</v>
      </c>
      <c r="I13" t="str">
        <v>lognormal</v>
      </c>
      <c r="J13">
        <v>1E-4</v>
      </c>
    </row>
    <row r="14" spans="1:10" x14ac:dyDescent="0.25">
      <c r="A14" t="str">
        <v>XLY</v>
      </c>
      <c r="B14" t="str">
        <v>Sector</v>
      </c>
      <c r="C14" t="str">
        <v>USD</v>
      </c>
      <c r="D14">
        <v>0</v>
      </c>
      <c r="E14">
        <v>0</v>
      </c>
      <c r="F14" t="str">
        <v>Discretionary</v>
      </c>
      <c r="G14" t="str">
        <v>yfinance</v>
      </c>
      <c r="H14" t="str">
        <v>XLY</v>
      </c>
      <c r="I14" t="str">
        <v>lognormal</v>
      </c>
      <c r="J14">
        <v>1E-4</v>
      </c>
    </row>
    <row r="15" spans="1:10" x14ac:dyDescent="0.25">
      <c r="A15" t="str">
        <v>XLB</v>
      </c>
      <c r="B15" t="str">
        <v>Sector</v>
      </c>
      <c r="C15" t="str">
        <v>USD</v>
      </c>
      <c r="D15">
        <v>0</v>
      </c>
      <c r="E15">
        <v>0</v>
      </c>
      <c r="F15" t="str">
        <v>Materials</v>
      </c>
      <c r="G15" t="str">
        <v>yfinance</v>
      </c>
      <c r="H15" t="str">
        <v>XLB</v>
      </c>
      <c r="I15" t="str">
        <v>lognormal</v>
      </c>
      <c r="J15">
        <v>1E-4</v>
      </c>
    </row>
    <row r="16" spans="1:10" x14ac:dyDescent="0.25">
      <c r="A16" t="str">
        <v>XLV</v>
      </c>
      <c r="B16" t="str">
        <v>Sector</v>
      </c>
      <c r="C16" t="str">
        <v>USD</v>
      </c>
      <c r="D16">
        <v>0</v>
      </c>
      <c r="E16">
        <v>0</v>
      </c>
      <c r="F16" t="str">
        <v>Health Care</v>
      </c>
      <c r="G16" t="str">
        <v>yfinance</v>
      </c>
      <c r="H16" t="str">
        <v>XLV</v>
      </c>
      <c r="I16" t="str">
        <v>lognormal</v>
      </c>
      <c r="J16">
        <v>1E-4</v>
      </c>
    </row>
    <row r="17" spans="1:10" x14ac:dyDescent="0.25">
      <c r="A17" t="str">
        <v>XLU</v>
      </c>
      <c r="B17" t="str">
        <v>Sector</v>
      </c>
      <c r="C17" t="str">
        <v>USD</v>
      </c>
      <c r="D17">
        <v>0</v>
      </c>
      <c r="E17">
        <v>0</v>
      </c>
      <c r="F17" t="str">
        <v>Utilities</v>
      </c>
      <c r="G17" t="str">
        <v>yfinance</v>
      </c>
      <c r="H17" t="str">
        <v>XLU</v>
      </c>
      <c r="I17" t="str">
        <v>lognormal</v>
      </c>
      <c r="J17">
        <v>1E-4</v>
      </c>
    </row>
    <row r="18" spans="1:10" x14ac:dyDescent="0.25">
      <c r="A18" t="str">
        <v>XLP</v>
      </c>
      <c r="B18" t="str">
        <v>Sector</v>
      </c>
      <c r="C18" t="str">
        <v>USD</v>
      </c>
      <c r="D18">
        <v>0</v>
      </c>
      <c r="E18">
        <v>0</v>
      </c>
      <c r="F18" t="str">
        <v>Staples</v>
      </c>
      <c r="G18" t="str">
        <v>yfinance</v>
      </c>
      <c r="H18" t="str">
        <v>XLP</v>
      </c>
      <c r="I18" t="str">
        <v>lognormal</v>
      </c>
      <c r="J18">
        <v>1E-4</v>
      </c>
    </row>
    <row r="19" spans="1:10" x14ac:dyDescent="0.25">
      <c r="A19" t="str">
        <v>IYR</v>
      </c>
      <c r="B19" t="str">
        <v>Equities</v>
      </c>
      <c r="C19" t="str">
        <v>USD</v>
      </c>
      <c r="D19">
        <v>0</v>
      </c>
      <c r="E19">
        <v>0</v>
      </c>
      <c r="F19" t="str">
        <v>iShares U.S. Real Estate ETF</v>
      </c>
      <c r="G19" t="str">
        <v>yfinance</v>
      </c>
      <c r="H19" t="str">
        <v>IYR</v>
      </c>
      <c r="I19" t="str">
        <v>lognormal</v>
      </c>
      <c r="J19">
        <v>1E-4</v>
      </c>
    </row>
    <row r="20" spans="1:10" x14ac:dyDescent="0.25">
      <c r="A20" t="str">
        <v>VNQ</v>
      </c>
      <c r="B20" t="str">
        <v>Equities</v>
      </c>
      <c r="C20" t="str">
        <v>USD</v>
      </c>
      <c r="D20">
        <v>0</v>
      </c>
      <c r="E20">
        <v>0</v>
      </c>
      <c r="F20" t="str">
        <v>Vanguard Real Estate ETF</v>
      </c>
      <c r="G20" t="str">
        <v>yfinance</v>
      </c>
      <c r="H20" t="str">
        <v>VNQ</v>
      </c>
      <c r="I20" t="str">
        <v>lognormal</v>
      </c>
      <c r="J20">
        <v>1E-4</v>
      </c>
    </row>
    <row r="21" spans="1:10" x14ac:dyDescent="0.25">
      <c r="A21" t="str">
        <v>SMH</v>
      </c>
      <c r="B21" t="str">
        <v>Equities</v>
      </c>
      <c r="C21" t="str">
        <v>USD</v>
      </c>
      <c r="D21">
        <v>0</v>
      </c>
      <c r="E21">
        <v>0</v>
      </c>
      <c r="F21" t="str">
        <v>Semiconductors</v>
      </c>
      <c r="G21" t="str">
        <v>yfinance</v>
      </c>
      <c r="H21" t="str">
        <v>SMH</v>
      </c>
      <c r="I21" t="str">
        <v>lognormal</v>
      </c>
      <c r="J21">
        <v>1E-4</v>
      </c>
    </row>
    <row r="22" spans="1:10" x14ac:dyDescent="0.25">
      <c r="A22" t="str">
        <v>IGV</v>
      </c>
      <c r="B22" t="str">
        <v>Equities</v>
      </c>
      <c r="C22" t="str">
        <v>USD</v>
      </c>
      <c r="D22">
        <v>0</v>
      </c>
      <c r="E22">
        <v>0</v>
      </c>
      <c r="F22" t="str">
        <v>Software</v>
      </c>
      <c r="G22" t="str">
        <v>yfinance</v>
      </c>
      <c r="H22" t="str">
        <v>IGV</v>
      </c>
      <c r="I22" t="str">
        <v>lognormal</v>
      </c>
      <c r="J22">
        <v>1E-4</v>
      </c>
    </row>
    <row r="23" spans="1:10" x14ac:dyDescent="0.25">
      <c r="A23" t="str">
        <v>AIQ</v>
      </c>
      <c r="B23" t="str">
        <v>Equities</v>
      </c>
      <c r="C23" t="str">
        <v>USD</v>
      </c>
      <c r="D23">
        <v>0</v>
      </c>
      <c r="E23">
        <v>0</v>
      </c>
      <c r="F23" t="str">
        <v>Artificial Intelligence</v>
      </c>
      <c r="G23" t="str">
        <v>yfinance</v>
      </c>
      <c r="H23" t="str">
        <v>AIQ</v>
      </c>
      <c r="I23" t="str">
        <v>lognormal</v>
      </c>
      <c r="J23">
        <v>1E-4</v>
      </c>
    </row>
    <row r="24" spans="1:10" x14ac:dyDescent="0.25">
      <c r="A24" t="str">
        <v>ICLN</v>
      </c>
      <c r="B24" t="str">
        <v>Equities</v>
      </c>
      <c r="C24" t="str">
        <v>USD</v>
      </c>
      <c r="D24">
        <v>0</v>
      </c>
      <c r="E24">
        <v>0</v>
      </c>
      <c r="F24" t="str">
        <v>Clean Energy</v>
      </c>
      <c r="G24" t="str">
        <v>yfinance</v>
      </c>
      <c r="H24" t="str">
        <v>ICLN</v>
      </c>
      <c r="I24" t="str">
        <v>lognormal</v>
      </c>
      <c r="J24">
        <v>1E-4</v>
      </c>
    </row>
    <row r="25" spans="1:10" x14ac:dyDescent="0.25">
      <c r="A25" t="str">
        <v>BIZD</v>
      </c>
      <c r="B25" t="str">
        <v>Equities</v>
      </c>
      <c r="C25" t="str">
        <v>USD</v>
      </c>
      <c r="D25">
        <v>0</v>
      </c>
      <c r="E25">
        <v>0</v>
      </c>
      <c r="F25" t="str">
        <v>Private Debt</v>
      </c>
      <c r="G25" t="str">
        <v>yfinance</v>
      </c>
      <c r="H25" t="str">
        <v>BIZD</v>
      </c>
      <c r="I25" t="str">
        <v>lognormal</v>
      </c>
      <c r="J25">
        <v>1E-4</v>
      </c>
    </row>
    <row r="26" spans="1:10" x14ac:dyDescent="0.25">
      <c r="A26" t="str">
        <v>PSP</v>
      </c>
      <c r="B26" t="str">
        <v>Equities</v>
      </c>
      <c r="C26" t="str">
        <v>USD</v>
      </c>
      <c r="D26">
        <v>0</v>
      </c>
      <c r="E26">
        <v>0</v>
      </c>
      <c r="F26" t="str">
        <v>Private Equity</v>
      </c>
      <c r="G26" t="str">
        <v>yfinance</v>
      </c>
      <c r="H26" t="str">
        <v>PSP</v>
      </c>
      <c r="I26" t="str">
        <v>lognormal</v>
      </c>
      <c r="J26">
        <v>1E-4</v>
      </c>
    </row>
    <row r="27" spans="1:10" x14ac:dyDescent="0.25">
      <c r="A27" t="str">
        <v>PFF</v>
      </c>
      <c r="B27" t="str">
        <v>Equities</v>
      </c>
      <c r="C27" t="str">
        <v>USD</v>
      </c>
      <c r="D27">
        <v>0</v>
      </c>
      <c r="E27">
        <v>0</v>
      </c>
      <c r="F27" t="str">
        <v>Preferred</v>
      </c>
      <c r="G27" t="str">
        <v>yfinance</v>
      </c>
      <c r="H27" t="str">
        <v>PFF</v>
      </c>
      <c r="I27" t="str">
        <v>lognormal</v>
      </c>
      <c r="J27">
        <v>1E-4</v>
      </c>
    </row>
    <row r="28" spans="1:10" x14ac:dyDescent="0.25">
      <c r="A28" t="str">
        <v>FEZ</v>
      </c>
      <c r="B28" t="str">
        <v>Equities</v>
      </c>
      <c r="C28" t="str">
        <v>USD</v>
      </c>
      <c r="D28">
        <v>0</v>
      </c>
      <c r="E28">
        <v>0</v>
      </c>
      <c r="F28" t="str">
        <v>Eurostoxx 50</v>
      </c>
      <c r="G28" t="str">
        <v>yfinance</v>
      </c>
      <c r="H28" t="str">
        <v>FEZ</v>
      </c>
      <c r="I28" t="str">
        <v>lognormal</v>
      </c>
      <c r="J28">
        <v>1E-4</v>
      </c>
    </row>
    <row r="29" spans="1:10" x14ac:dyDescent="0.25">
      <c r="A29" t="str">
        <v>EWU</v>
      </c>
      <c r="B29" t="str">
        <v>Equities</v>
      </c>
      <c r="C29" t="str">
        <v>GBP</v>
      </c>
      <c r="D29">
        <v>0</v>
      </c>
      <c r="E29">
        <v>0</v>
      </c>
      <c r="F29" t="str">
        <v>FTSE 100</v>
      </c>
      <c r="G29" t="str">
        <v>yfinance</v>
      </c>
      <c r="H29" t="str">
        <v>EWU</v>
      </c>
      <c r="I29" t="str">
        <v>lognormal</v>
      </c>
      <c r="J29">
        <v>1E-4</v>
      </c>
    </row>
    <row r="30" spans="1:10" x14ac:dyDescent="0.25">
      <c r="A30" t="str">
        <v>DAX</v>
      </c>
      <c r="B30" t="str">
        <v>Equities</v>
      </c>
      <c r="C30" t="str">
        <v>EUR</v>
      </c>
      <c r="D30">
        <v>0</v>
      </c>
      <c r="E30">
        <v>0</v>
      </c>
      <c r="F30" t="str">
        <v>DAX (Germany)</v>
      </c>
      <c r="G30" t="str">
        <v>yfinance</v>
      </c>
      <c r="H30" t="str">
        <v>DAX</v>
      </c>
      <c r="I30" t="str">
        <v>lognormal</v>
      </c>
      <c r="J30">
        <v>1E-4</v>
      </c>
    </row>
    <row r="31" spans="1:10" x14ac:dyDescent="0.25">
      <c r="A31" t="str">
        <v>EWC</v>
      </c>
      <c r="B31" t="str">
        <v>Equities</v>
      </c>
      <c r="C31" t="str">
        <v>CAD</v>
      </c>
      <c r="D31">
        <v>0</v>
      </c>
      <c r="E31">
        <v>0</v>
      </c>
      <c r="F31" t="str">
        <v>MSCI Canada</v>
      </c>
      <c r="G31" t="str">
        <v>yfinance</v>
      </c>
      <c r="H31" t="str">
        <v>EWC</v>
      </c>
      <c r="I31" t="str">
        <v>lognormal</v>
      </c>
      <c r="J31">
        <v>1E-4</v>
      </c>
    </row>
    <row r="32" spans="1:10" x14ac:dyDescent="0.25">
      <c r="A32" t="str">
        <v>EWI</v>
      </c>
      <c r="B32" t="str">
        <v>Equities</v>
      </c>
      <c r="C32" t="str">
        <v>EUR</v>
      </c>
      <c r="D32">
        <v>0</v>
      </c>
      <c r="E32">
        <v>0</v>
      </c>
      <c r="F32" t="str">
        <v>MSCI Italy</v>
      </c>
      <c r="G32" t="str">
        <v>yfinance</v>
      </c>
      <c r="H32" t="str">
        <v>EWI</v>
      </c>
      <c r="I32" t="str">
        <v>lognormal</v>
      </c>
      <c r="J32">
        <v>1E-4</v>
      </c>
    </row>
    <row r="33" spans="1:10" x14ac:dyDescent="0.25">
      <c r="A33" t="str">
        <v>^N225</v>
      </c>
      <c r="B33" t="str">
        <v>Equities</v>
      </c>
      <c r="C33" t="str">
        <v>JPY</v>
      </c>
      <c r="D33">
        <v>0</v>
      </c>
      <c r="E33">
        <v>0</v>
      </c>
      <c r="F33" t="str">
        <v>Nikkei 225</v>
      </c>
      <c r="G33" t="str">
        <v>yfinance</v>
      </c>
      <c r="H33" t="str">
        <v>^N225</v>
      </c>
      <c r="I33" t="str">
        <v>lognormal</v>
      </c>
      <c r="J33">
        <v>1E-4</v>
      </c>
    </row>
    <row r="34" spans="1:10" x14ac:dyDescent="0.25">
      <c r="A34" t="str">
        <v>FXI</v>
      </c>
      <c r="B34" t="str">
        <v>Equities</v>
      </c>
      <c r="C34" t="str">
        <v>CNH</v>
      </c>
      <c r="D34">
        <v>0</v>
      </c>
      <c r="E34">
        <v>0</v>
      </c>
      <c r="F34" t="str">
        <v>China Large-Cap</v>
      </c>
      <c r="G34" t="str">
        <v>yfinance</v>
      </c>
      <c r="H34" t="str">
        <v>FXI</v>
      </c>
      <c r="I34" t="str">
        <v>lognormal</v>
      </c>
      <c r="J34">
        <v>1E-4</v>
      </c>
    </row>
    <row r="35" spans="1:10" x14ac:dyDescent="0.25">
      <c r="A35" t="str">
        <v>ASHR</v>
      </c>
      <c r="B35" t="str">
        <v>Equities</v>
      </c>
      <c r="C35" t="str">
        <v>CNH</v>
      </c>
      <c r="D35">
        <v>0</v>
      </c>
      <c r="E35">
        <v>0</v>
      </c>
      <c r="F35" t="str">
        <v>CSI 300 (China)</v>
      </c>
      <c r="G35" t="str">
        <v>yfinance</v>
      </c>
      <c r="H35" t="str">
        <v>ASHR</v>
      </c>
      <c r="I35" t="str">
        <v>lognormal</v>
      </c>
      <c r="J35">
        <v>1E-4</v>
      </c>
    </row>
    <row r="36" spans="1:10" x14ac:dyDescent="0.25">
      <c r="A36" t="str">
        <v>KWEB</v>
      </c>
      <c r="B36" t="str">
        <v>Equities</v>
      </c>
      <c r="C36" t="str">
        <v>CNH</v>
      </c>
      <c r="D36">
        <v>0</v>
      </c>
      <c r="E36">
        <v>0</v>
      </c>
      <c r="F36" t="str">
        <v>CSI China Internet</v>
      </c>
      <c r="G36" t="str">
        <v>yfinance</v>
      </c>
      <c r="H36" t="str">
        <v>KWEB</v>
      </c>
      <c r="I36" t="str">
        <v>lognormal</v>
      </c>
      <c r="J36">
        <v>1E-4</v>
      </c>
    </row>
    <row r="37" spans="1:10" x14ac:dyDescent="0.25">
      <c r="A37" t="str">
        <v>EEM</v>
      </c>
      <c r="B37" t="str">
        <v>Equities</v>
      </c>
      <c r="C37" t="str">
        <v>EM</v>
      </c>
      <c r="D37">
        <v>0</v>
      </c>
      <c r="E37">
        <v>0</v>
      </c>
      <c r="F37" t="str">
        <v>MSCI EM</v>
      </c>
      <c r="G37" t="str">
        <v>yfinance</v>
      </c>
      <c r="H37" t="str">
        <v>EEM</v>
      </c>
      <c r="I37" t="str">
        <v>lognormal</v>
      </c>
      <c r="J37">
        <v>1E-4</v>
      </c>
    </row>
    <row r="38" spans="1:10" x14ac:dyDescent="0.25">
      <c r="A38" t="str">
        <v>LQD</v>
      </c>
      <c r="B38" t="str">
        <v>Credit</v>
      </c>
      <c r="C38" t="str">
        <v>USD</v>
      </c>
      <c r="D38">
        <v>0</v>
      </c>
      <c r="E38">
        <v>0</v>
      </c>
      <c r="F38" t="str">
        <v>iShares iBoxx $ Investment Grade Corporate Bond ETF</v>
      </c>
      <c r="G38" t="str">
        <v>yfinance</v>
      </c>
      <c r="H38" t="str">
        <v>LQD</v>
      </c>
      <c r="I38" t="str">
        <v>lognormal</v>
      </c>
      <c r="J38">
        <v>1E-4</v>
      </c>
    </row>
    <row r="39" spans="1:10" x14ac:dyDescent="0.25">
      <c r="A39" t="str">
        <v>BSV</v>
      </c>
      <c r="B39" t="str">
        <v>Credit</v>
      </c>
      <c r="C39" t="str">
        <v>USD</v>
      </c>
      <c r="D39">
        <v>0</v>
      </c>
      <c r="E39">
        <v>0</v>
      </c>
      <c r="F39" t="str">
        <v>Vanguard Short-Term Bond Index Fund ETF</v>
      </c>
      <c r="G39" t="str">
        <v>yfinance</v>
      </c>
      <c r="H39" t="str">
        <v>BSV</v>
      </c>
      <c r="I39" t="str">
        <v>lognormal</v>
      </c>
      <c r="J39">
        <v>1E-4</v>
      </c>
    </row>
    <row r="40" spans="1:10" x14ac:dyDescent="0.25">
      <c r="A40" t="str">
        <v>HYG</v>
      </c>
      <c r="B40" t="str">
        <v>Credit</v>
      </c>
      <c r="C40" t="str">
        <v>USD</v>
      </c>
      <c r="D40">
        <v>0</v>
      </c>
      <c r="E40">
        <v>0</v>
      </c>
      <c r="F40" t="str">
        <v>iShares iBoxx $ High Yield Corporate Bond ETF</v>
      </c>
      <c r="G40" t="str">
        <v>yfinance</v>
      </c>
      <c r="H40" t="str">
        <v>HYG</v>
      </c>
      <c r="I40" t="str">
        <v>lognormal</v>
      </c>
      <c r="J40">
        <v>1E-4</v>
      </c>
    </row>
    <row r="41" spans="1:10" x14ac:dyDescent="0.25">
      <c r="A41" t="str">
        <v>LQDH</v>
      </c>
      <c r="B41" t="str">
        <v>Credit</v>
      </c>
      <c r="C41" t="str">
        <v>USD</v>
      </c>
      <c r="D41">
        <v>1</v>
      </c>
      <c r="E41">
        <v>0</v>
      </c>
      <c r="F41" t="str">
        <v>Hedged LQD</v>
      </c>
      <c r="G41" t="str">
        <v>yfinance</v>
      </c>
      <c r="H41" t="str">
        <v>LQDH</v>
      </c>
      <c r="I41" t="str">
        <v>lognormal</v>
      </c>
      <c r="J41">
        <v>1E-4</v>
      </c>
    </row>
    <row r="42" spans="1:10" x14ac:dyDescent="0.25">
      <c r="A42" t="str">
        <v>HYGH</v>
      </c>
      <c r="B42" t="str">
        <v>Credit</v>
      </c>
      <c r="C42" t="str">
        <v>USD</v>
      </c>
      <c r="D42">
        <v>0</v>
      </c>
      <c r="E42">
        <v>0</v>
      </c>
      <c r="F42" t="str">
        <v>Hedged HYG</v>
      </c>
      <c r="G42" t="str">
        <v>yfinance</v>
      </c>
      <c r="H42" t="str">
        <v>HYGH</v>
      </c>
      <c r="I42" t="str">
        <v>lognormal</v>
      </c>
      <c r="J42">
        <v>1E-4</v>
      </c>
    </row>
    <row r="43" spans="1:10" x14ac:dyDescent="0.25">
      <c r="A43" t="str">
        <v>BKLN</v>
      </c>
      <c r="B43" t="str">
        <v>Credit</v>
      </c>
      <c r="C43" t="str">
        <v>USD</v>
      </c>
      <c r="D43">
        <v>0</v>
      </c>
      <c r="E43">
        <v>0</v>
      </c>
      <c r="F43" t="str">
        <v>Bank Loans</v>
      </c>
      <c r="G43" t="str">
        <v>yfinance</v>
      </c>
      <c r="H43" t="str">
        <v>BKLN</v>
      </c>
      <c r="I43" t="str">
        <v>lognormal</v>
      </c>
      <c r="J43">
        <v>1E-4</v>
      </c>
    </row>
    <row r="44" spans="1:10" x14ac:dyDescent="0.25">
      <c r="A44" t="str">
        <v>AGG</v>
      </c>
      <c r="B44" t="str">
        <v>Credit</v>
      </c>
      <c r="C44" t="str">
        <v>USD</v>
      </c>
      <c r="D44">
        <v>0</v>
      </c>
      <c r="E44">
        <v>0</v>
      </c>
      <c r="F44" t="str">
        <v>US Agg</v>
      </c>
      <c r="G44" t="str">
        <v>yfinance</v>
      </c>
      <c r="H44" t="str">
        <v>AGG</v>
      </c>
      <c r="I44" t="str">
        <v>lognormal</v>
      </c>
      <c r="J44">
        <v>1E-4</v>
      </c>
    </row>
    <row r="45" spans="1:10" x14ac:dyDescent="0.25">
      <c r="A45" t="str">
        <v>^TNX</v>
      </c>
      <c r="B45" t="str">
        <v>Rates</v>
      </c>
      <c r="C45" t="str">
        <v>USD</v>
      </c>
      <c r="D45">
        <v>0</v>
      </c>
      <c r="E45">
        <v>0</v>
      </c>
      <c r="F45" t="str">
        <v>CBOE Interest Rate 10 Year</v>
      </c>
      <c r="G45" t="str">
        <v>yfinance</v>
      </c>
      <c r="H45" t="str">
        <v>^TNX</v>
      </c>
      <c r="I45" t="str">
        <v>normal</v>
      </c>
      <c r="J45">
        <v>-0.01</v>
      </c>
    </row>
    <row r="46" spans="1:10" x14ac:dyDescent="0.25">
      <c r="A46" t="str">
        <v>SHY</v>
      </c>
      <c r="B46" t="str">
        <v>Rates</v>
      </c>
      <c r="C46" t="str">
        <v>USD</v>
      </c>
      <c r="D46">
        <v>0</v>
      </c>
      <c r="E46">
        <v>0</v>
      </c>
      <c r="F46" t="str">
        <v>1-3 Year Treasury</v>
      </c>
      <c r="G46" t="str">
        <v>yfinance</v>
      </c>
      <c r="H46" t="str">
        <v>SHY</v>
      </c>
      <c r="I46" t="str">
        <v>lognormal</v>
      </c>
      <c r="J46">
        <v>1E-4</v>
      </c>
    </row>
    <row r="47" spans="1:10" x14ac:dyDescent="0.25">
      <c r="A47" t="str">
        <v>IEI</v>
      </c>
      <c r="B47" t="str">
        <v>Rates</v>
      </c>
      <c r="C47" t="str">
        <v>USD</v>
      </c>
      <c r="D47">
        <v>0</v>
      </c>
      <c r="E47">
        <v>0</v>
      </c>
      <c r="F47" t="str">
        <v>3-7 Year Treasury</v>
      </c>
      <c r="G47" t="str">
        <v>yfinance</v>
      </c>
      <c r="H47" t="str">
        <v>IEI</v>
      </c>
      <c r="I47" t="str">
        <v>lognormal</v>
      </c>
      <c r="J47">
        <v>1E-4</v>
      </c>
    </row>
    <row r="48" spans="1:10" x14ac:dyDescent="0.25">
      <c r="A48" t="str">
        <v>IEF</v>
      </c>
      <c r="B48" t="str">
        <v>Rates</v>
      </c>
      <c r="C48" t="str">
        <v>USD</v>
      </c>
      <c r="D48">
        <v>1</v>
      </c>
      <c r="E48">
        <v>0</v>
      </c>
      <c r="F48" t="str">
        <v>7-10 Year Treasury</v>
      </c>
      <c r="G48" t="str">
        <v>yfinance</v>
      </c>
      <c r="H48" t="str">
        <v>IEF</v>
      </c>
      <c r="I48" t="str">
        <v>lognormal</v>
      </c>
      <c r="J48">
        <v>1E-4</v>
      </c>
    </row>
    <row r="49" spans="1:10" x14ac:dyDescent="0.25">
      <c r="A49" t="str">
        <v>TLT</v>
      </c>
      <c r="B49" t="str">
        <v>Rates</v>
      </c>
      <c r="C49" t="str">
        <v>USD</v>
      </c>
      <c r="D49">
        <v>0</v>
      </c>
      <c r="E49">
        <v>0</v>
      </c>
      <c r="F49" t="str">
        <v>20+ Year Treasury</v>
      </c>
      <c r="G49" t="str">
        <v>yfinance</v>
      </c>
      <c r="H49" t="str">
        <v>TLT</v>
      </c>
      <c r="I49" t="str">
        <v>lognormal</v>
      </c>
      <c r="J49">
        <v>1E-4</v>
      </c>
    </row>
    <row r="50" spans="1:10" x14ac:dyDescent="0.25">
      <c r="A50" t="str">
        <v>TIP</v>
      </c>
      <c r="B50" t="str">
        <v>Rates</v>
      </c>
      <c r="C50" t="str">
        <v>USD</v>
      </c>
      <c r="D50">
        <v>0</v>
      </c>
      <c r="E50">
        <v>0</v>
      </c>
      <c r="F50" t="str">
        <v>iShares TIPS Bond ETF</v>
      </c>
      <c r="G50" t="str">
        <v>yfinance</v>
      </c>
      <c r="H50" t="str">
        <v>TIP</v>
      </c>
      <c r="I50" t="str">
        <v>lognormal</v>
      </c>
      <c r="J50">
        <v>1E-4</v>
      </c>
    </row>
    <row r="51" spans="1:10" x14ac:dyDescent="0.25">
      <c r="A51" t="str">
        <v>VTIP</v>
      </c>
      <c r="B51" t="str">
        <v>Rates</v>
      </c>
      <c r="C51" t="str">
        <v>USD</v>
      </c>
      <c r="D51">
        <v>0</v>
      </c>
      <c r="E51">
        <v>0</v>
      </c>
      <c r="F51" t="str">
        <v>Short-Term Inflation-Protected Securities ETF</v>
      </c>
      <c r="G51" t="str">
        <v>yfinance</v>
      </c>
      <c r="H51" t="str">
        <v>VTIP</v>
      </c>
      <c r="I51" t="str">
        <v>lognormal</v>
      </c>
      <c r="J51">
        <v>1E-4</v>
      </c>
    </row>
    <row r="52" spans="1:10" x14ac:dyDescent="0.25">
      <c r="A52" t="str">
        <v>AGNC</v>
      </c>
      <c r="B52" t="str">
        <v>Rates</v>
      </c>
      <c r="C52" t="str">
        <v>USD</v>
      </c>
      <c r="D52">
        <v>0</v>
      </c>
      <c r="E52">
        <v>0</v>
      </c>
      <c r="F52" t="str">
        <v>AGNC Investment Corp.</v>
      </c>
      <c r="G52" t="str">
        <v>yfinance</v>
      </c>
      <c r="H52" t="str">
        <v>AGNC</v>
      </c>
      <c r="I52" t="str">
        <v>lognormal</v>
      </c>
      <c r="J52">
        <v>1E-4</v>
      </c>
    </row>
    <row r="53" spans="1:10" x14ac:dyDescent="0.25">
      <c r="A53" t="str">
        <v>VMBS</v>
      </c>
      <c r="B53" t="str">
        <v>Rates</v>
      </c>
      <c r="C53" t="str">
        <v>USD</v>
      </c>
      <c r="D53">
        <v>0</v>
      </c>
      <c r="E53">
        <v>0</v>
      </c>
      <c r="F53" t="str">
        <v>Mortgage-Backed Securities ETF</v>
      </c>
      <c r="G53" t="str">
        <v>yfinance</v>
      </c>
      <c r="H53" t="str">
        <v>VMBS</v>
      </c>
      <c r="I53" t="str">
        <v>lognormal</v>
      </c>
      <c r="J53">
        <v>1E-4</v>
      </c>
    </row>
    <row r="54" spans="1:10" x14ac:dyDescent="0.25">
      <c r="A54" t="str">
        <v>CMBS</v>
      </c>
      <c r="B54" t="str">
        <v>Rates</v>
      </c>
      <c r="C54" t="str">
        <v>USD</v>
      </c>
      <c r="D54">
        <v>0</v>
      </c>
      <c r="E54">
        <v>0</v>
      </c>
      <c r="F54" t="str">
        <v>iShares CMBS ETF</v>
      </c>
      <c r="G54" t="str">
        <v>yfinance</v>
      </c>
      <c r="H54" t="str">
        <v>CMBS</v>
      </c>
      <c r="I54" t="str">
        <v>lognormal</v>
      </c>
      <c r="J54">
        <v>1E-4</v>
      </c>
    </row>
    <row r="55" spans="1:10" x14ac:dyDescent="0.25">
      <c r="A55" t="str">
        <v>EMB</v>
      </c>
      <c r="B55" t="str">
        <v>Rates</v>
      </c>
      <c r="C55" t="str">
        <v>EM</v>
      </c>
      <c r="D55">
        <v>0</v>
      </c>
      <c r="E55">
        <v>0</v>
      </c>
      <c r="F55" t="str">
        <v>iShares J.P. Morgan USD Emerging Markets Bond ETF</v>
      </c>
      <c r="G55" t="str">
        <v>yfinance</v>
      </c>
      <c r="H55" t="str">
        <v>EMB</v>
      </c>
      <c r="I55" t="str">
        <v>lognormal</v>
      </c>
      <c r="J55">
        <v>1E-4</v>
      </c>
    </row>
    <row r="56" spans="1:10" x14ac:dyDescent="0.25">
      <c r="A56" t="str">
        <v>GLD</v>
      </c>
      <c r="B56" t="str">
        <v>Commodities</v>
      </c>
      <c r="C56" t="str">
        <v>USD</v>
      </c>
      <c r="D56">
        <v>0</v>
      </c>
      <c r="E56">
        <v>0</v>
      </c>
      <c r="F56" t="str">
        <v>SPDR Gold Shares</v>
      </c>
      <c r="G56" t="str">
        <v>yfinance</v>
      </c>
      <c r="H56" t="str">
        <v>GLD</v>
      </c>
      <c r="I56" t="str">
        <v>lognormal</v>
      </c>
      <c r="J56">
        <v>1E-4</v>
      </c>
    </row>
    <row r="57" spans="1:10" x14ac:dyDescent="0.25">
      <c r="A57" t="str">
        <v>SLV</v>
      </c>
      <c r="B57" t="str">
        <v>Commodities</v>
      </c>
      <c r="C57" t="str">
        <v>USD</v>
      </c>
      <c r="D57">
        <v>0</v>
      </c>
      <c r="E57">
        <v>0</v>
      </c>
      <c r="F57" t="str">
        <v>iShares Silver Trust</v>
      </c>
      <c r="G57" t="str">
        <v>yfinance</v>
      </c>
      <c r="H57" t="str">
        <v>SLV</v>
      </c>
      <c r="I57" t="str">
        <v>lognormal</v>
      </c>
      <c r="J57">
        <v>1E-4</v>
      </c>
    </row>
    <row r="58" spans="1:10" x14ac:dyDescent="0.25">
      <c r="A58" t="str">
        <v>USO</v>
      </c>
      <c r="B58" t="str">
        <v>Commodities</v>
      </c>
      <c r="C58" t="str">
        <v>USD</v>
      </c>
      <c r="D58">
        <v>0</v>
      </c>
      <c r="E58">
        <v>0</v>
      </c>
      <c r="F58" t="str">
        <v>United States Oil Fund</v>
      </c>
      <c r="G58" t="str">
        <v>yfinance</v>
      </c>
      <c r="H58" t="str">
        <v>USO</v>
      </c>
      <c r="I58" t="str">
        <v>lognormal</v>
      </c>
      <c r="J58">
        <v>1E-4</v>
      </c>
    </row>
    <row r="59" spans="1:10" x14ac:dyDescent="0.25">
      <c r="A59" t="str">
        <v>UUP</v>
      </c>
      <c r="B59" t="str">
        <v>Currencies</v>
      </c>
      <c r="C59" t="str">
        <v>USD</v>
      </c>
      <c r="D59">
        <v>0</v>
      </c>
      <c r="E59">
        <v>0</v>
      </c>
      <c r="F59" t="str">
        <v>Invesco DB US Dollar Index Bullish Fund</v>
      </c>
      <c r="G59" t="str">
        <v>yfinance</v>
      </c>
      <c r="H59" t="str">
        <v>UUP</v>
      </c>
      <c r="I59" t="str">
        <v>lognormal</v>
      </c>
      <c r="J59">
        <v>1E-4</v>
      </c>
    </row>
    <row r="60" spans="1:10" x14ac:dyDescent="0.25">
      <c r="A60" t="str">
        <v>DX-Y.NYB</v>
      </c>
      <c r="B60" t="str">
        <v>Currencies</v>
      </c>
      <c r="C60" t="str">
        <v>USD</v>
      </c>
      <c r="D60">
        <v>0</v>
      </c>
      <c r="E60">
        <v>0</v>
      </c>
      <c r="F60" t="str">
        <v>U.S. Dollar Index</v>
      </c>
      <c r="G60" t="str">
        <v>yfinance</v>
      </c>
      <c r="H60" t="str">
        <v>DX-Y.NYB</v>
      </c>
      <c r="I60" t="str">
        <v>lognormal</v>
      </c>
      <c r="J60">
        <v>1E-4</v>
      </c>
    </row>
    <row r="61" spans="1:10" x14ac:dyDescent="0.25">
      <c r="A61" t="str">
        <v>FXE</v>
      </c>
      <c r="B61" t="str">
        <v>Currencies</v>
      </c>
      <c r="C61" t="str">
        <v>EUR</v>
      </c>
      <c r="D61">
        <v>0</v>
      </c>
      <c r="E61">
        <v>0</v>
      </c>
      <c r="F61" t="str">
        <v>Invesco CurrencyShares Euro Trust</v>
      </c>
      <c r="G61" t="str">
        <v>yfinance</v>
      </c>
      <c r="H61" t="str">
        <v>FXE</v>
      </c>
      <c r="I61" t="str">
        <v>lognormal</v>
      </c>
      <c r="J61">
        <v>1E-4</v>
      </c>
    </row>
    <row r="62" spans="1:10" x14ac:dyDescent="0.25">
      <c r="A62" t="str">
        <v>FXF</v>
      </c>
      <c r="B62" t="str">
        <v>Currencies</v>
      </c>
      <c r="C62" t="str">
        <v>EUR</v>
      </c>
      <c r="D62">
        <v>0</v>
      </c>
      <c r="E62">
        <v>0</v>
      </c>
      <c r="F62" t="str">
        <v>Invesco CurrencyShares Swiss Franc Trust</v>
      </c>
      <c r="G62" t="str">
        <v>yfinance</v>
      </c>
      <c r="H62" t="str">
        <v>FXF</v>
      </c>
      <c r="I62" t="str">
        <v>lognormal</v>
      </c>
      <c r="J62">
        <v>1E-4</v>
      </c>
    </row>
    <row r="63" spans="1:10" x14ac:dyDescent="0.25">
      <c r="A63" t="str">
        <v>FXA</v>
      </c>
      <c r="B63" t="str">
        <v>Currencies</v>
      </c>
      <c r="C63" t="str">
        <v>Commod</v>
      </c>
      <c r="D63">
        <v>0</v>
      </c>
      <c r="E63">
        <v>0</v>
      </c>
      <c r="F63" t="str">
        <v>Invesco CurrencyShares Australian Dollar Trust</v>
      </c>
      <c r="G63" t="str">
        <v>yfinance</v>
      </c>
      <c r="H63" t="str">
        <v>FXA</v>
      </c>
      <c r="I63" t="str">
        <v>lognormal</v>
      </c>
      <c r="J63">
        <v>1E-4</v>
      </c>
    </row>
    <row r="64" spans="1:10" x14ac:dyDescent="0.25">
      <c r="A64" t="str">
        <v>FXB</v>
      </c>
      <c r="B64" t="str">
        <v>Currencies</v>
      </c>
      <c r="C64" t="str">
        <v>GBP</v>
      </c>
      <c r="D64">
        <v>0</v>
      </c>
      <c r="E64">
        <v>0</v>
      </c>
      <c r="F64" t="str">
        <v>Invesco CurrencyShares British Pound Sterling Trust</v>
      </c>
      <c r="G64" t="str">
        <v>yfinance</v>
      </c>
      <c r="H64" t="str">
        <v>FXB</v>
      </c>
      <c r="I64" t="str">
        <v>lognormal</v>
      </c>
      <c r="J64">
        <v>1E-4</v>
      </c>
    </row>
    <row r="65" spans="1:10" x14ac:dyDescent="0.25">
      <c r="A65" t="str">
        <v>FXC</v>
      </c>
      <c r="B65" t="str">
        <v>Currencies</v>
      </c>
      <c r="C65" t="str">
        <v>USD</v>
      </c>
      <c r="D65">
        <v>0</v>
      </c>
      <c r="E65">
        <v>0</v>
      </c>
      <c r="F65" t="str">
        <v>Invesco CurrencyShares Canadian Dollar Trust</v>
      </c>
      <c r="G65" t="str">
        <v>yfinance</v>
      </c>
      <c r="H65" t="str">
        <v>FXC</v>
      </c>
      <c r="I65" t="str">
        <v>lognormal</v>
      </c>
      <c r="J65">
        <v>1E-4</v>
      </c>
    </row>
    <row r="66" spans="1:10" x14ac:dyDescent="0.25">
      <c r="A66" t="str">
        <v>FXY</v>
      </c>
      <c r="B66" t="str">
        <v>Currencies</v>
      </c>
      <c r="C66" t="str">
        <v>JPY</v>
      </c>
      <c r="D66">
        <v>0</v>
      </c>
      <c r="E66">
        <v>0</v>
      </c>
      <c r="F66" t="str">
        <v>Invesco CurrencyShares Japanese Yen Trust</v>
      </c>
      <c r="G66" t="str">
        <v>yfinance</v>
      </c>
      <c r="H66" t="str">
        <v>FXY</v>
      </c>
      <c r="I66" t="str">
        <v>lognormal</v>
      </c>
      <c r="J66">
        <v>1E-4</v>
      </c>
    </row>
    <row r="67" spans="1:10" x14ac:dyDescent="0.25">
      <c r="A67" t="str">
        <v>^VIX</v>
      </c>
      <c r="B67" t="str">
        <v>Vol</v>
      </c>
      <c r="C67" t="str">
        <v>USD</v>
      </c>
      <c r="D67">
        <v>0</v>
      </c>
      <c r="E67">
        <v>0</v>
      </c>
      <c r="F67" t="str">
        <v>CBOE Volatility Index</v>
      </c>
      <c r="G67" t="str">
        <v>yfinance</v>
      </c>
      <c r="H67" t="str">
        <v>^VIX</v>
      </c>
      <c r="I67" t="str">
        <v>normal</v>
      </c>
      <c r="J67">
        <v>-0.01</v>
      </c>
    </row>
    <row r="68" spans="1:10" x14ac:dyDescent="0.25">
      <c r="A68" t="str">
        <v>VXX</v>
      </c>
      <c r="B68" t="str">
        <v>Vol</v>
      </c>
      <c r="C68" t="str">
        <v>USD</v>
      </c>
      <c r="D68">
        <v>0</v>
      </c>
      <c r="E68">
        <v>0</v>
      </c>
      <c r="F68" t="str">
        <v>VIX Short-Term Futures ETN</v>
      </c>
      <c r="G68" t="str">
        <v>yfinance</v>
      </c>
      <c r="H68" t="str">
        <v>VXX</v>
      </c>
      <c r="I68" t="str">
        <v>normal</v>
      </c>
      <c r="J68">
        <v>-0.01</v>
      </c>
    </row>
    <row r="69" spans="1:10" x14ac:dyDescent="0.25">
      <c r="A69" t="str">
        <v>^VIX3M</v>
      </c>
      <c r="B69" t="str">
        <v>Vol</v>
      </c>
      <c r="C69" t="str">
        <v>USD</v>
      </c>
      <c r="D69">
        <v>0</v>
      </c>
      <c r="E69">
        <v>0</v>
      </c>
      <c r="F69" t="str">
        <v>CBOE S&amp;P 500 3-Month Volatility</v>
      </c>
      <c r="G69" t="str">
        <v>yfinance</v>
      </c>
      <c r="H69" t="str">
        <v>^VIX3M</v>
      </c>
      <c r="I69" t="str">
        <v>normal</v>
      </c>
      <c r="J69">
        <v>-0.01</v>
      </c>
    </row>
    <row r="70" spans="1:10" x14ac:dyDescent="0.25">
      <c r="A70" t="str">
        <v>^MOVE</v>
      </c>
      <c r="B70" t="str">
        <v>Vol</v>
      </c>
      <c r="C70" t="str">
        <v>USD</v>
      </c>
      <c r="D70">
        <v>0</v>
      </c>
      <c r="E70">
        <v>0</v>
      </c>
      <c r="F70" t="str">
        <v>ICE BofAML MOVE Index</v>
      </c>
      <c r="G70" t="str">
        <v>yfinance</v>
      </c>
      <c r="H70" t="str">
        <v>^MOVE</v>
      </c>
      <c r="I70" t="str">
        <v>normal</v>
      </c>
      <c r="J70">
        <v>-0.01</v>
      </c>
    </row>
    <row r="71" spans="1:10" x14ac:dyDescent="0.25">
      <c r="A71" t="str">
        <v>^OVX</v>
      </c>
      <c r="B71" t="str">
        <v>Vol</v>
      </c>
      <c r="C71" t="str">
        <v>USD</v>
      </c>
      <c r="D71">
        <v>0</v>
      </c>
      <c r="E71">
        <v>0</v>
      </c>
      <c r="F71" t="str">
        <v>CBOE Crude Oil Volatility Index</v>
      </c>
      <c r="G71" t="str">
        <v>yfinance</v>
      </c>
      <c r="H71" t="str">
        <v>^OVX</v>
      </c>
      <c r="I71" t="str">
        <v>normal</v>
      </c>
      <c r="J71">
        <v>-0.01</v>
      </c>
    </row>
    <row r="72" spans="1:10" x14ac:dyDescent="0.25">
      <c r="A72" t="str">
        <v>^GVZ</v>
      </c>
      <c r="B72" t="str">
        <v>Vol</v>
      </c>
      <c r="C72" t="str">
        <v>USD</v>
      </c>
      <c r="D72">
        <v>0</v>
      </c>
      <c r="E72">
        <v>0</v>
      </c>
      <c r="F72" t="str">
        <v>CBOE Gold Volatility Index</v>
      </c>
      <c r="G72" t="str">
        <v>yfinance</v>
      </c>
      <c r="H72" t="str">
        <v>^GVZ</v>
      </c>
      <c r="I72" t="str">
        <v>normal</v>
      </c>
      <c r="J72">
        <v>-0.01</v>
      </c>
    </row>
    <row r="73" spans="1:10" x14ac:dyDescent="0.25">
      <c r="A73" t="str">
        <v>MWTIX</v>
      </c>
      <c r="B73" t="str">
        <v>Portfolio</v>
      </c>
      <c r="C73" t="str">
        <v>USD</v>
      </c>
      <c r="D73">
        <v>1</v>
      </c>
      <c r="E73">
        <v>0</v>
      </c>
      <c r="F73" t="str">
        <v>TCW MetWest Total Return Bd I</v>
      </c>
      <c r="G73" t="str">
        <v>yfinance</v>
      </c>
      <c r="H73" t="str">
        <v>MWTIX</v>
      </c>
      <c r="I73" t="str">
        <v>lognormal</v>
      </c>
      <c r="J73">
        <v>1E-4</v>
      </c>
    </row>
    <row r="74" spans="1:10" x14ac:dyDescent="0.25">
      <c r="A74" t="str">
        <v>FCNTX</v>
      </c>
      <c r="B74" t="str">
        <v>Portfolio</v>
      </c>
      <c r="C74" t="str">
        <v>USD</v>
      </c>
      <c r="D74">
        <v>0</v>
      </c>
      <c r="E74">
        <v>0</v>
      </c>
      <c r="F74" t="str">
        <v>Fidelity Contrafund</v>
      </c>
      <c r="G74" t="str">
        <v>yfinance</v>
      </c>
      <c r="H74" t="str">
        <v>FCNTX</v>
      </c>
      <c r="I74" t="str">
        <v>lognormal</v>
      </c>
      <c r="J74">
        <v>1E-4</v>
      </c>
    </row>
    <row r="75" spans="1:10" x14ac:dyDescent="0.25">
      <c r="A75" t="str">
        <v>PRIVATES</v>
      </c>
      <c r="B75" t="str">
        <v>Theme</v>
      </c>
      <c r="C75" t="str">
        <v>USD</v>
      </c>
      <c r="D75">
        <v>1</v>
      </c>
      <c r="E75">
        <v>1</v>
      </c>
      <c r="F75" t="str">
        <v>PSP 0.5, XLF -0.5, BKLN 0.5, LQDH -0.5</v>
      </c>
      <c r="G75" t="str">
        <v>composite</v>
      </c>
      <c r="H75" t="str">
        <v>PRIVATES</v>
      </c>
      <c r="I75" t="str">
        <v>lognormal</v>
      </c>
      <c r="J75">
        <v>1E-4</v>
      </c>
    </row>
    <row r="76" spans="1:10" x14ac:dyDescent="0.25">
      <c r="A76" t="str">
        <v>FED</v>
      </c>
      <c r="B76" t="str">
        <v>Theme</v>
      </c>
      <c r="C76" t="str">
        <v>USD</v>
      </c>
      <c r="D76">
        <v>1</v>
      </c>
      <c r="E76">
        <v>1</v>
      </c>
      <c r="F76" t="str">
        <v>SHY 1, BSV 1</v>
      </c>
      <c r="G76" t="str">
        <v>composite</v>
      </c>
      <c r="H76" t="str">
        <v>FED</v>
      </c>
      <c r="I76" t="str">
        <v>lognormal</v>
      </c>
      <c r="J76">
        <v>1E-4</v>
      </c>
    </row>
    <row r="77" spans="1:10" x14ac:dyDescent="0.25">
      <c r="A77" t="str">
        <v>AI</v>
      </c>
      <c r="B77" t="str">
        <v>Theme</v>
      </c>
      <c r="C77" t="str">
        <v>USD</v>
      </c>
      <c r="D77">
        <v>1</v>
      </c>
      <c r="E77">
        <v>1</v>
      </c>
      <c r="F77" t="str">
        <v>AIQ 1, QQQ 0.25, IWM -0.25</v>
      </c>
      <c r="G77" t="str">
        <v>composite</v>
      </c>
      <c r="H77" t="str">
        <v>AI</v>
      </c>
      <c r="I77" t="str">
        <v>lognormal</v>
      </c>
      <c r="J77">
        <v>1E-4</v>
      </c>
    </row>
    <row r="78" spans="1:10" x14ac:dyDescent="0.25">
      <c r="A78" t="str">
        <v>GEOPOLITICS</v>
      </c>
      <c r="B78" t="str">
        <v>Theme</v>
      </c>
      <c r="C78" t="str">
        <v>USD</v>
      </c>
      <c r="D78">
        <v>1</v>
      </c>
      <c r="E78">
        <v>1</v>
      </c>
      <c r="F78" t="str">
        <v>GLD 0.65, USO 0.3, ^VIX3M -0.15, FEZ -0.05</v>
      </c>
      <c r="G78" t="str">
        <v>composite</v>
      </c>
      <c r="H78" t="str">
        <v>GEOPOLITICS</v>
      </c>
      <c r="I78" t="str">
        <v>lognormal</v>
      </c>
      <c r="J78">
        <v>1E-4</v>
      </c>
    </row>
    <row r="79" spans="1:10" x14ac:dyDescent="0.25">
      <c r="A79" t="str">
        <v>TRADEWAR</v>
      </c>
      <c r="B79" t="str">
        <v>Theme</v>
      </c>
      <c r="C79" t="str">
        <v>USD</v>
      </c>
      <c r="D79">
        <v>1</v>
      </c>
      <c r="E79">
        <v>1</v>
      </c>
      <c r="F79" t="str">
        <v>GLD 0.21, FXY 0.30, FXF 0.37, ^VIX3M -0.04, XLP 0.15, XLY -0.15</v>
      </c>
      <c r="G79" t="str">
        <v>composite</v>
      </c>
      <c r="H79" t="str">
        <v>TRADEWAR</v>
      </c>
      <c r="I79" t="str">
        <v>lognormal</v>
      </c>
      <c r="J79">
        <v>1E-4</v>
      </c>
    </row>
    <row r="80" spans="1:10" x14ac:dyDescent="0.25">
      <c r="A80" t="str">
        <v>IRAN</v>
      </c>
      <c r="B80" t="str">
        <v>Theme</v>
      </c>
      <c r="C80" t="str">
        <v>USD</v>
      </c>
      <c r="D80">
        <v>1</v>
      </c>
      <c r="E80">
        <v>1</v>
      </c>
      <c r="F80" t="str">
        <v>USO 1</v>
      </c>
      <c r="G80" t="str">
        <v>composite</v>
      </c>
      <c r="H80" t="str">
        <v>IRAN</v>
      </c>
      <c r="I80" t="str">
        <v>lognormal</v>
      </c>
      <c r="J80">
        <v>1E-4</v>
      </c>
    </row>
    <row r="81" spans="1:10" x14ac:dyDescent="0.25">
      <c r="A81" t="str">
        <v>SEMI-SOFT</v>
      </c>
      <c r="B81" t="str">
        <v>Theme</v>
      </c>
      <c r="C81" t="str">
        <v>USD</v>
      </c>
      <c r="D81">
        <v>1</v>
      </c>
      <c r="E81">
        <v>1</v>
      </c>
      <c r="F81" t="str">
        <v>SMH 1, IGV -1, QQQ 1</v>
      </c>
      <c r="G81" t="str">
        <v>composite</v>
      </c>
      <c r="H81" t="str">
        <v>SEMI-SOFT</v>
      </c>
      <c r="I81" t="str">
        <v>lognormal</v>
      </c>
      <c r="J81">
        <v>1E-4</v>
      </c>
    </row>
    <row r="82" spans="1:10" x14ac:dyDescent="0.25">
      <c r="A82" t="str">
        <v>2s10s</v>
      </c>
      <c r="B82" t="str">
        <v>Rates</v>
      </c>
      <c r="C82" t="str">
        <v>USD</v>
      </c>
      <c r="D82">
        <v>1</v>
      </c>
      <c r="E82">
        <v>1</v>
      </c>
      <c r="F82" t="str">
        <v>SHY -3.86, IEF 1</v>
      </c>
      <c r="G82" t="str">
        <v>composite</v>
      </c>
      <c r="H82" t="str">
        <v>2s10s</v>
      </c>
      <c r="I82" t="str">
        <v>lognormal</v>
      </c>
      <c r="J82">
        <v>1E-4</v>
      </c>
    </row>
    <row r="83" spans="1:10" x14ac:dyDescent="0.25">
      <c r="A83" t="str">
        <v>XLPXLY</v>
      </c>
      <c r="B83" t="str">
        <v>Equities</v>
      </c>
      <c r="C83" t="str">
        <v>USD</v>
      </c>
      <c r="D83">
        <v>1</v>
      </c>
      <c r="E83">
        <v>1</v>
      </c>
      <c r="F83" t="str">
        <v>Staples/Discretionary</v>
      </c>
      <c r="G83" t="str">
        <v>composite</v>
      </c>
      <c r="H83" t="str">
        <v>XLPXLY</v>
      </c>
      <c r="I83" t="str">
        <v>lognormal</v>
      </c>
      <c r="J83">
        <v>1E-4</v>
      </c>
    </row>
    <row r="84" spans="1:10" x14ac:dyDescent="0.25">
      <c r="A84" t="str">
        <v>BTC</v>
      </c>
      <c r="B84" t="str">
        <v>Currencies</v>
      </c>
      <c r="C84" t="str">
        <v>USD</v>
      </c>
      <c r="D84">
        <v>0</v>
      </c>
      <c r="E84">
        <v>0</v>
      </c>
      <c r="F84" t="str">
        <v>-</v>
      </c>
      <c r="G84" t="str">
        <v>lmxl</v>
      </c>
      <c r="H84" t="str">
        <v>BTC1_price</v>
      </c>
      <c r="I84" t="str">
        <v>lognormal</v>
      </c>
      <c r="J84">
        <v>1E-4</v>
      </c>
    </row>
    <row r="85" spans="1:10" x14ac:dyDescent="0.25">
      <c r="A85" t="str">
        <v>BTC_vol</v>
      </c>
      <c r="B85" t="str">
        <v>Vol</v>
      </c>
      <c r="C85" t="str">
        <v>USD</v>
      </c>
      <c r="D85">
        <v>0</v>
      </c>
      <c r="E85">
        <v>0</v>
      </c>
      <c r="F85" t="str">
        <v>-</v>
      </c>
      <c r="G85" t="str">
        <v>lmxl</v>
      </c>
      <c r="H85" t="str">
        <v>BTC1_atm</v>
      </c>
      <c r="I85" t="str">
        <v>normal</v>
      </c>
      <c r="J85">
        <v>-0.01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3E77-EA56-403E-A728-B01259D22573}">
  <dimension ref="A1:J74"/>
  <sheetViews>
    <sheetView showGridLines="0" topLeftCell="A34" workbookViewId="0">
      <selection activeCell="A63" sqref="A63"/>
    </sheetView>
  </sheetViews>
  <sheetFormatPr defaultRowHeight="15" x14ac:dyDescent="0.25"/>
  <cols>
    <col min="6" max="6" width="44.28515625" bestFit="1" customWidth="1"/>
  </cols>
  <sheetData>
    <row r="1" spans="1:10" x14ac:dyDescent="0.25">
      <c r="A1" t="s">
        <v>2</v>
      </c>
      <c r="B1" t="s">
        <v>322</v>
      </c>
      <c r="C1" t="s">
        <v>316</v>
      </c>
      <c r="D1" t="s">
        <v>428</v>
      </c>
      <c r="E1" t="s">
        <v>445</v>
      </c>
      <c r="F1" t="s">
        <v>19</v>
      </c>
      <c r="G1" t="s">
        <v>466</v>
      </c>
      <c r="H1" t="s">
        <v>465</v>
      </c>
      <c r="I1" t="s">
        <v>464</v>
      </c>
      <c r="J1" t="s">
        <v>468</v>
      </c>
    </row>
    <row r="2" spans="1:10" x14ac:dyDescent="0.25">
      <c r="A2" t="str" cm="1">
        <f t="array" ref="A2:A74">_xlfn._xlws.FILTER(data[factor_name],(data[Active])*(data[source]="yfinance"))</f>
        <v>SPY</v>
      </c>
      <c r="B2" t="str" cm="1">
        <f t="array" ref="B2:J74">INDEX(data[],_xlfn.XMATCH(_xlfn.ANCHORARRAY(A2),data[factor_name]),_xlfn.XMATCH(B1:J1,data[#Headers]))</f>
        <v>Equities</v>
      </c>
      <c r="C2" t="str">
        <v>USD</v>
      </c>
      <c r="D2">
        <v>1</v>
      </c>
      <c r="E2">
        <v>0</v>
      </c>
      <c r="F2" t="str">
        <v>S&amp;P 500</v>
      </c>
      <c r="G2" t="str">
        <v>yfinance</v>
      </c>
      <c r="H2" t="str">
        <v>SPY</v>
      </c>
      <c r="I2" t="str">
        <v>lognormal</v>
      </c>
      <c r="J2">
        <v>1E-4</v>
      </c>
    </row>
    <row r="3" spans="1:10" x14ac:dyDescent="0.25">
      <c r="A3" t="str">
        <v>IWM</v>
      </c>
      <c r="B3" t="str">
        <v>Equities</v>
      </c>
      <c r="C3" t="str">
        <v>USD</v>
      </c>
      <c r="D3">
        <v>0</v>
      </c>
      <c r="E3">
        <v>0</v>
      </c>
      <c r="F3" t="str">
        <v>Russell 2000</v>
      </c>
      <c r="G3" t="str">
        <v>yfinance</v>
      </c>
      <c r="H3" t="str">
        <v>IWM</v>
      </c>
      <c r="I3" t="str">
        <v>lognormal</v>
      </c>
      <c r="J3">
        <v>1E-4</v>
      </c>
    </row>
    <row r="4" spans="1:10" x14ac:dyDescent="0.25">
      <c r="A4" t="str">
        <v>MDY</v>
      </c>
      <c r="B4" t="str">
        <v>Equities</v>
      </c>
      <c r="C4" t="str">
        <v>USD</v>
      </c>
      <c r="D4">
        <v>0</v>
      </c>
      <c r="E4">
        <v>0</v>
      </c>
      <c r="F4" t="str">
        <v>S&amp;P 400</v>
      </c>
      <c r="G4" t="str">
        <v>yfinance</v>
      </c>
      <c r="H4" t="str">
        <v>MDY</v>
      </c>
      <c r="I4" t="str">
        <v>lognormal</v>
      </c>
      <c r="J4">
        <v>1E-4</v>
      </c>
    </row>
    <row r="5" spans="1:10" x14ac:dyDescent="0.25">
      <c r="A5" t="str">
        <v>RSP</v>
      </c>
      <c r="B5" t="str">
        <v>Equities</v>
      </c>
      <c r="C5" t="str">
        <v>USD</v>
      </c>
      <c r="D5">
        <v>0</v>
      </c>
      <c r="E5">
        <v>0</v>
      </c>
      <c r="F5" t="str">
        <v>S&amp;P 500 EW</v>
      </c>
      <c r="G5" t="str">
        <v>yfinance</v>
      </c>
      <c r="H5" t="str">
        <v>RSP</v>
      </c>
      <c r="I5" t="str">
        <v>lognormal</v>
      </c>
      <c r="J5">
        <v>1E-4</v>
      </c>
    </row>
    <row r="6" spans="1:10" x14ac:dyDescent="0.25">
      <c r="A6" t="str">
        <v>QQQ</v>
      </c>
      <c r="B6" t="str">
        <v>Equities</v>
      </c>
      <c r="C6" t="str">
        <v>USD</v>
      </c>
      <c r="D6">
        <v>0</v>
      </c>
      <c r="E6">
        <v>0</v>
      </c>
      <c r="F6" t="str">
        <v>Nasdaq 100</v>
      </c>
      <c r="G6" t="str">
        <v>yfinance</v>
      </c>
      <c r="H6" t="str">
        <v>QQQ</v>
      </c>
      <c r="I6" t="str">
        <v>lognormal</v>
      </c>
      <c r="J6">
        <v>1E-4</v>
      </c>
    </row>
    <row r="7" spans="1:10" x14ac:dyDescent="0.25">
      <c r="A7" t="str">
        <v>DIA</v>
      </c>
      <c r="B7" t="str">
        <v>Equities</v>
      </c>
      <c r="C7" t="str">
        <v>USD</v>
      </c>
      <c r="D7">
        <v>0</v>
      </c>
      <c r="E7">
        <v>0</v>
      </c>
      <c r="F7" t="str">
        <v>Dow Jones 30</v>
      </c>
      <c r="G7" t="str">
        <v>yfinance</v>
      </c>
      <c r="H7" t="str">
        <v>DIA</v>
      </c>
      <c r="I7" t="str">
        <v>lognormal</v>
      </c>
      <c r="J7">
        <v>1E-4</v>
      </c>
    </row>
    <row r="8" spans="1:10" x14ac:dyDescent="0.25">
      <c r="A8" t="str">
        <v>XLK</v>
      </c>
      <c r="B8" t="str">
        <v>Sector</v>
      </c>
      <c r="C8" t="str">
        <v>USD</v>
      </c>
      <c r="D8">
        <v>0</v>
      </c>
      <c r="E8">
        <v>0</v>
      </c>
      <c r="F8" t="str">
        <v>Technology</v>
      </c>
      <c r="G8" t="str">
        <v>yfinance</v>
      </c>
      <c r="H8" t="str">
        <v>XLK</v>
      </c>
      <c r="I8" t="str">
        <v>lognormal</v>
      </c>
      <c r="J8">
        <v>1E-4</v>
      </c>
    </row>
    <row r="9" spans="1:10" x14ac:dyDescent="0.25">
      <c r="A9" t="str">
        <v>XLI</v>
      </c>
      <c r="B9" t="str">
        <v>Sector</v>
      </c>
      <c r="C9" t="str">
        <v>USD</v>
      </c>
      <c r="D9">
        <v>0</v>
      </c>
      <c r="E9">
        <v>0</v>
      </c>
      <c r="F9" t="str">
        <v>Industrials</v>
      </c>
      <c r="G9" t="str">
        <v>yfinance</v>
      </c>
      <c r="H9" t="str">
        <v>XLI</v>
      </c>
      <c r="I9" t="str">
        <v>lognormal</v>
      </c>
      <c r="J9">
        <v>1E-4</v>
      </c>
    </row>
    <row r="10" spans="1:10" x14ac:dyDescent="0.25">
      <c r="A10" t="str">
        <v>XLF</v>
      </c>
      <c r="B10" t="str">
        <v>Sector</v>
      </c>
      <c r="C10" t="str">
        <v>USD</v>
      </c>
      <c r="D10">
        <v>0</v>
      </c>
      <c r="E10">
        <v>0</v>
      </c>
      <c r="F10" t="str">
        <v>Financials</v>
      </c>
      <c r="G10" t="str">
        <v>yfinance</v>
      </c>
      <c r="H10" t="str">
        <v>XLF</v>
      </c>
      <c r="I10" t="str">
        <v>lognormal</v>
      </c>
      <c r="J10">
        <v>1E-4</v>
      </c>
    </row>
    <row r="11" spans="1:10" x14ac:dyDescent="0.25">
      <c r="A11" t="str">
        <v>KRE</v>
      </c>
      <c r="B11" t="str">
        <v>Sector</v>
      </c>
      <c r="C11" t="str">
        <v>USD</v>
      </c>
      <c r="D11">
        <v>0</v>
      </c>
      <c r="E11">
        <v>0</v>
      </c>
      <c r="F11" t="str">
        <v>Regional Banks</v>
      </c>
      <c r="G11" t="str">
        <v>yfinance</v>
      </c>
      <c r="H11" t="str">
        <v>KRE</v>
      </c>
      <c r="I11" t="str">
        <v>lognormal</v>
      </c>
      <c r="J11">
        <v>1E-4</v>
      </c>
    </row>
    <row r="12" spans="1:10" x14ac:dyDescent="0.25">
      <c r="A12" t="str">
        <v>XLC</v>
      </c>
      <c r="B12" t="str">
        <v>Sector</v>
      </c>
      <c r="C12" t="str">
        <v>USD</v>
      </c>
      <c r="D12">
        <v>0</v>
      </c>
      <c r="E12">
        <v>0</v>
      </c>
      <c r="F12" t="str">
        <v>Communications</v>
      </c>
      <c r="G12" t="str">
        <v>yfinance</v>
      </c>
      <c r="H12" t="str">
        <v>XLC</v>
      </c>
      <c r="I12" t="str">
        <v>lognormal</v>
      </c>
      <c r="J12">
        <v>1E-4</v>
      </c>
    </row>
    <row r="13" spans="1:10" x14ac:dyDescent="0.25">
      <c r="A13" t="str">
        <v>XLE</v>
      </c>
      <c r="B13" t="str">
        <v>Sector</v>
      </c>
      <c r="C13" t="str">
        <v>USD</v>
      </c>
      <c r="D13">
        <v>0</v>
      </c>
      <c r="E13">
        <v>0</v>
      </c>
      <c r="F13" t="str">
        <v>Energy</v>
      </c>
      <c r="G13" t="str">
        <v>yfinance</v>
      </c>
      <c r="H13" t="str">
        <v>XLE</v>
      </c>
      <c r="I13" t="str">
        <v>lognormal</v>
      </c>
      <c r="J13">
        <v>1E-4</v>
      </c>
    </row>
    <row r="14" spans="1:10" x14ac:dyDescent="0.25">
      <c r="A14" t="str">
        <v>XLY</v>
      </c>
      <c r="B14" t="str">
        <v>Sector</v>
      </c>
      <c r="C14" t="str">
        <v>USD</v>
      </c>
      <c r="D14">
        <v>0</v>
      </c>
      <c r="E14">
        <v>0</v>
      </c>
      <c r="F14" t="str">
        <v>Discretionary</v>
      </c>
      <c r="G14" t="str">
        <v>yfinance</v>
      </c>
      <c r="H14" t="str">
        <v>XLY</v>
      </c>
      <c r="I14" t="str">
        <v>lognormal</v>
      </c>
      <c r="J14">
        <v>1E-4</v>
      </c>
    </row>
    <row r="15" spans="1:10" x14ac:dyDescent="0.25">
      <c r="A15" t="str">
        <v>XLB</v>
      </c>
      <c r="B15" t="str">
        <v>Sector</v>
      </c>
      <c r="C15" t="str">
        <v>USD</v>
      </c>
      <c r="D15">
        <v>0</v>
      </c>
      <c r="E15">
        <v>0</v>
      </c>
      <c r="F15" t="str">
        <v>Materials</v>
      </c>
      <c r="G15" t="str">
        <v>yfinance</v>
      </c>
      <c r="H15" t="str">
        <v>XLB</v>
      </c>
      <c r="I15" t="str">
        <v>lognormal</v>
      </c>
      <c r="J15">
        <v>1E-4</v>
      </c>
    </row>
    <row r="16" spans="1:10" x14ac:dyDescent="0.25">
      <c r="A16" t="str">
        <v>XLV</v>
      </c>
      <c r="B16" t="str">
        <v>Sector</v>
      </c>
      <c r="C16" t="str">
        <v>USD</v>
      </c>
      <c r="D16">
        <v>0</v>
      </c>
      <c r="E16">
        <v>0</v>
      </c>
      <c r="F16" t="str">
        <v>Health Care</v>
      </c>
      <c r="G16" t="str">
        <v>yfinance</v>
      </c>
      <c r="H16" t="str">
        <v>XLV</v>
      </c>
      <c r="I16" t="str">
        <v>lognormal</v>
      </c>
      <c r="J16">
        <v>1E-4</v>
      </c>
    </row>
    <row r="17" spans="1:10" x14ac:dyDescent="0.25">
      <c r="A17" t="str">
        <v>XLU</v>
      </c>
      <c r="B17" t="str">
        <v>Sector</v>
      </c>
      <c r="C17" t="str">
        <v>USD</v>
      </c>
      <c r="D17">
        <v>0</v>
      </c>
      <c r="E17">
        <v>0</v>
      </c>
      <c r="F17" t="str">
        <v>Utilities</v>
      </c>
      <c r="G17" t="str">
        <v>yfinance</v>
      </c>
      <c r="H17" t="str">
        <v>XLU</v>
      </c>
      <c r="I17" t="str">
        <v>lognormal</v>
      </c>
      <c r="J17">
        <v>1E-4</v>
      </c>
    </row>
    <row r="18" spans="1:10" x14ac:dyDescent="0.25">
      <c r="A18" t="str">
        <v>XLP</v>
      </c>
      <c r="B18" t="str">
        <v>Sector</v>
      </c>
      <c r="C18" t="str">
        <v>USD</v>
      </c>
      <c r="D18">
        <v>0</v>
      </c>
      <c r="E18">
        <v>0</v>
      </c>
      <c r="F18" t="str">
        <v>Staples</v>
      </c>
      <c r="G18" t="str">
        <v>yfinance</v>
      </c>
      <c r="H18" t="str">
        <v>XLP</v>
      </c>
      <c r="I18" t="str">
        <v>lognormal</v>
      </c>
      <c r="J18">
        <v>1E-4</v>
      </c>
    </row>
    <row r="19" spans="1:10" x14ac:dyDescent="0.25">
      <c r="A19" t="str">
        <v>IYR</v>
      </c>
      <c r="B19" t="str">
        <v>Equities</v>
      </c>
      <c r="C19" t="str">
        <v>USD</v>
      </c>
      <c r="D19">
        <v>0</v>
      </c>
      <c r="E19">
        <v>0</v>
      </c>
      <c r="F19" t="str">
        <v>iShares U.S. Real Estate ETF</v>
      </c>
      <c r="G19" t="str">
        <v>yfinance</v>
      </c>
      <c r="H19" t="str">
        <v>IYR</v>
      </c>
      <c r="I19" t="str">
        <v>lognormal</v>
      </c>
      <c r="J19">
        <v>1E-4</v>
      </c>
    </row>
    <row r="20" spans="1:10" x14ac:dyDescent="0.25">
      <c r="A20" t="str">
        <v>VNQ</v>
      </c>
      <c r="B20" t="str">
        <v>Equities</v>
      </c>
      <c r="C20" t="str">
        <v>USD</v>
      </c>
      <c r="D20">
        <v>0</v>
      </c>
      <c r="E20">
        <v>0</v>
      </c>
      <c r="F20" t="str">
        <v>Vanguard Real Estate ETF</v>
      </c>
      <c r="G20" t="str">
        <v>yfinance</v>
      </c>
      <c r="H20" t="str">
        <v>VNQ</v>
      </c>
      <c r="I20" t="str">
        <v>lognormal</v>
      </c>
      <c r="J20">
        <v>1E-4</v>
      </c>
    </row>
    <row r="21" spans="1:10" x14ac:dyDescent="0.25">
      <c r="A21" t="str">
        <v>SMH</v>
      </c>
      <c r="B21" t="str">
        <v>Equities</v>
      </c>
      <c r="C21" t="str">
        <v>USD</v>
      </c>
      <c r="D21">
        <v>0</v>
      </c>
      <c r="E21">
        <v>0</v>
      </c>
      <c r="F21" t="str">
        <v>Semiconductors</v>
      </c>
      <c r="G21" t="str">
        <v>yfinance</v>
      </c>
      <c r="H21" t="str">
        <v>SMH</v>
      </c>
      <c r="I21" t="str">
        <v>lognormal</v>
      </c>
      <c r="J21">
        <v>1E-4</v>
      </c>
    </row>
    <row r="22" spans="1:10" x14ac:dyDescent="0.25">
      <c r="A22" t="str">
        <v>IGV</v>
      </c>
      <c r="B22" t="str">
        <v>Equities</v>
      </c>
      <c r="C22" t="str">
        <v>USD</v>
      </c>
      <c r="D22">
        <v>0</v>
      </c>
      <c r="E22">
        <v>0</v>
      </c>
      <c r="F22" t="str">
        <v>Software</v>
      </c>
      <c r="G22" t="str">
        <v>yfinance</v>
      </c>
      <c r="H22" t="str">
        <v>IGV</v>
      </c>
      <c r="I22" t="str">
        <v>lognormal</v>
      </c>
      <c r="J22">
        <v>1E-4</v>
      </c>
    </row>
    <row r="23" spans="1:10" x14ac:dyDescent="0.25">
      <c r="A23" t="str">
        <v>AIQ</v>
      </c>
      <c r="B23" t="str">
        <v>Equities</v>
      </c>
      <c r="C23" t="str">
        <v>USD</v>
      </c>
      <c r="D23">
        <v>0</v>
      </c>
      <c r="E23">
        <v>0</v>
      </c>
      <c r="F23" t="str">
        <v>Artificial Intelligence</v>
      </c>
      <c r="G23" t="str">
        <v>yfinance</v>
      </c>
      <c r="H23" t="str">
        <v>AIQ</v>
      </c>
      <c r="I23" t="str">
        <v>lognormal</v>
      </c>
      <c r="J23">
        <v>1E-4</v>
      </c>
    </row>
    <row r="24" spans="1:10" x14ac:dyDescent="0.25">
      <c r="A24" t="str">
        <v>ICLN</v>
      </c>
      <c r="B24" t="str">
        <v>Equities</v>
      </c>
      <c r="C24" t="str">
        <v>USD</v>
      </c>
      <c r="D24">
        <v>0</v>
      </c>
      <c r="E24">
        <v>0</v>
      </c>
      <c r="F24" t="str">
        <v>Clean Energy</v>
      </c>
      <c r="G24" t="str">
        <v>yfinance</v>
      </c>
      <c r="H24" t="str">
        <v>ICLN</v>
      </c>
      <c r="I24" t="str">
        <v>lognormal</v>
      </c>
      <c r="J24">
        <v>1E-4</v>
      </c>
    </row>
    <row r="25" spans="1:10" x14ac:dyDescent="0.25">
      <c r="A25" t="str">
        <v>BIZD</v>
      </c>
      <c r="B25" t="str">
        <v>Equities</v>
      </c>
      <c r="C25" t="str">
        <v>USD</v>
      </c>
      <c r="D25">
        <v>0</v>
      </c>
      <c r="E25">
        <v>0</v>
      </c>
      <c r="F25" t="str">
        <v>Private Debt</v>
      </c>
      <c r="G25" t="str">
        <v>yfinance</v>
      </c>
      <c r="H25" t="str">
        <v>BIZD</v>
      </c>
      <c r="I25" t="str">
        <v>lognormal</v>
      </c>
      <c r="J25">
        <v>1E-4</v>
      </c>
    </row>
    <row r="26" spans="1:10" x14ac:dyDescent="0.25">
      <c r="A26" t="str">
        <v>PSP</v>
      </c>
      <c r="B26" t="str">
        <v>Equities</v>
      </c>
      <c r="C26" t="str">
        <v>USD</v>
      </c>
      <c r="D26">
        <v>0</v>
      </c>
      <c r="E26">
        <v>0</v>
      </c>
      <c r="F26" t="str">
        <v>Private Equity</v>
      </c>
      <c r="G26" t="str">
        <v>yfinance</v>
      </c>
      <c r="H26" t="str">
        <v>PSP</v>
      </c>
      <c r="I26" t="str">
        <v>lognormal</v>
      </c>
      <c r="J26">
        <v>1E-4</v>
      </c>
    </row>
    <row r="27" spans="1:10" x14ac:dyDescent="0.25">
      <c r="A27" t="str">
        <v>PFF</v>
      </c>
      <c r="B27" t="str">
        <v>Equities</v>
      </c>
      <c r="C27" t="str">
        <v>USD</v>
      </c>
      <c r="D27">
        <v>0</v>
      </c>
      <c r="E27">
        <v>0</v>
      </c>
      <c r="F27" t="str">
        <v>Preferred</v>
      </c>
      <c r="G27" t="str">
        <v>yfinance</v>
      </c>
      <c r="H27" t="str">
        <v>PFF</v>
      </c>
      <c r="I27" t="str">
        <v>lognormal</v>
      </c>
      <c r="J27">
        <v>1E-4</v>
      </c>
    </row>
    <row r="28" spans="1:10" x14ac:dyDescent="0.25">
      <c r="A28" t="str">
        <v>FEZ</v>
      </c>
      <c r="B28" t="str">
        <v>Equities</v>
      </c>
      <c r="C28" t="str">
        <v>USD</v>
      </c>
      <c r="D28">
        <v>0</v>
      </c>
      <c r="E28">
        <v>0</v>
      </c>
      <c r="F28" t="str">
        <v>Eurostoxx 50</v>
      </c>
      <c r="G28" t="str">
        <v>yfinance</v>
      </c>
      <c r="H28" t="str">
        <v>FEZ</v>
      </c>
      <c r="I28" t="str">
        <v>lognormal</v>
      </c>
      <c r="J28">
        <v>1E-4</v>
      </c>
    </row>
    <row r="29" spans="1:10" x14ac:dyDescent="0.25">
      <c r="A29" t="str">
        <v>EWU</v>
      </c>
      <c r="B29" t="str">
        <v>Equities</v>
      </c>
      <c r="C29" t="str">
        <v>GBP</v>
      </c>
      <c r="D29">
        <v>0</v>
      </c>
      <c r="E29">
        <v>0</v>
      </c>
      <c r="F29" t="str">
        <v>FTSE 100</v>
      </c>
      <c r="G29" t="str">
        <v>yfinance</v>
      </c>
      <c r="H29" t="str">
        <v>EWU</v>
      </c>
      <c r="I29" t="str">
        <v>lognormal</v>
      </c>
      <c r="J29">
        <v>1E-4</v>
      </c>
    </row>
    <row r="30" spans="1:10" x14ac:dyDescent="0.25">
      <c r="A30" t="str">
        <v>DAX</v>
      </c>
      <c r="B30" t="str">
        <v>Equities</v>
      </c>
      <c r="C30" t="str">
        <v>EUR</v>
      </c>
      <c r="D30">
        <v>0</v>
      </c>
      <c r="E30">
        <v>0</v>
      </c>
      <c r="F30" t="str">
        <v>DAX (Germany)</v>
      </c>
      <c r="G30" t="str">
        <v>yfinance</v>
      </c>
      <c r="H30" t="str">
        <v>DAX</v>
      </c>
      <c r="I30" t="str">
        <v>lognormal</v>
      </c>
      <c r="J30">
        <v>1E-4</v>
      </c>
    </row>
    <row r="31" spans="1:10" x14ac:dyDescent="0.25">
      <c r="A31" t="str">
        <v>EWC</v>
      </c>
      <c r="B31" t="str">
        <v>Equities</v>
      </c>
      <c r="C31" t="str">
        <v>CAD</v>
      </c>
      <c r="D31">
        <v>0</v>
      </c>
      <c r="E31">
        <v>0</v>
      </c>
      <c r="F31" t="str">
        <v>MSCI Canada</v>
      </c>
      <c r="G31" t="str">
        <v>yfinance</v>
      </c>
      <c r="H31" t="str">
        <v>EWC</v>
      </c>
      <c r="I31" t="str">
        <v>lognormal</v>
      </c>
      <c r="J31">
        <v>1E-4</v>
      </c>
    </row>
    <row r="32" spans="1:10" x14ac:dyDescent="0.25">
      <c r="A32" t="str">
        <v>EWI</v>
      </c>
      <c r="B32" t="str">
        <v>Equities</v>
      </c>
      <c r="C32" t="str">
        <v>EUR</v>
      </c>
      <c r="D32">
        <v>0</v>
      </c>
      <c r="E32">
        <v>0</v>
      </c>
      <c r="F32" t="str">
        <v>MSCI Italy</v>
      </c>
      <c r="G32" t="str">
        <v>yfinance</v>
      </c>
      <c r="H32" t="str">
        <v>EWI</v>
      </c>
      <c r="I32" t="str">
        <v>lognormal</v>
      </c>
      <c r="J32">
        <v>1E-4</v>
      </c>
    </row>
    <row r="33" spans="1:10" x14ac:dyDescent="0.25">
      <c r="A33" t="str">
        <v>^N225</v>
      </c>
      <c r="B33" t="str">
        <v>Equities</v>
      </c>
      <c r="C33" t="str">
        <v>JPY</v>
      </c>
      <c r="D33">
        <v>0</v>
      </c>
      <c r="E33">
        <v>0</v>
      </c>
      <c r="F33" t="str">
        <v>Nikkei 225</v>
      </c>
      <c r="G33" t="str">
        <v>yfinance</v>
      </c>
      <c r="H33" t="str">
        <v>^N225</v>
      </c>
      <c r="I33" t="str">
        <v>lognormal</v>
      </c>
      <c r="J33">
        <v>1E-4</v>
      </c>
    </row>
    <row r="34" spans="1:10" x14ac:dyDescent="0.25">
      <c r="A34" t="str">
        <v>FXI</v>
      </c>
      <c r="B34" t="str">
        <v>Equities</v>
      </c>
      <c r="C34" t="str">
        <v>CNH</v>
      </c>
      <c r="D34">
        <v>0</v>
      </c>
      <c r="E34">
        <v>0</v>
      </c>
      <c r="F34" t="str">
        <v>China Large-Cap</v>
      </c>
      <c r="G34" t="str">
        <v>yfinance</v>
      </c>
      <c r="H34" t="str">
        <v>FXI</v>
      </c>
      <c r="I34" t="str">
        <v>lognormal</v>
      </c>
      <c r="J34">
        <v>1E-4</v>
      </c>
    </row>
    <row r="35" spans="1:10" x14ac:dyDescent="0.25">
      <c r="A35" t="str">
        <v>ASHR</v>
      </c>
      <c r="B35" t="str">
        <v>Equities</v>
      </c>
      <c r="C35" t="str">
        <v>CNH</v>
      </c>
      <c r="D35">
        <v>0</v>
      </c>
      <c r="E35">
        <v>0</v>
      </c>
      <c r="F35" t="str">
        <v>CSI 300 (China)</v>
      </c>
      <c r="G35" t="str">
        <v>yfinance</v>
      </c>
      <c r="H35" t="str">
        <v>ASHR</v>
      </c>
      <c r="I35" t="str">
        <v>lognormal</v>
      </c>
      <c r="J35">
        <v>1E-4</v>
      </c>
    </row>
    <row r="36" spans="1:10" x14ac:dyDescent="0.25">
      <c r="A36" t="str">
        <v>KWEB</v>
      </c>
      <c r="B36" t="str">
        <v>Equities</v>
      </c>
      <c r="C36" t="str">
        <v>CNH</v>
      </c>
      <c r="D36">
        <v>0</v>
      </c>
      <c r="E36">
        <v>0</v>
      </c>
      <c r="F36" t="str">
        <v>CSI China Internet</v>
      </c>
      <c r="G36" t="str">
        <v>yfinance</v>
      </c>
      <c r="H36" t="str">
        <v>KWEB</v>
      </c>
      <c r="I36" t="str">
        <v>lognormal</v>
      </c>
      <c r="J36">
        <v>1E-4</v>
      </c>
    </row>
    <row r="37" spans="1:10" x14ac:dyDescent="0.25">
      <c r="A37" t="str">
        <v>EEM</v>
      </c>
      <c r="B37" t="str">
        <v>Equities</v>
      </c>
      <c r="C37" t="str">
        <v>EM</v>
      </c>
      <c r="D37">
        <v>0</v>
      </c>
      <c r="E37">
        <v>0</v>
      </c>
      <c r="F37" t="str">
        <v>MSCI EM</v>
      </c>
      <c r="G37" t="str">
        <v>yfinance</v>
      </c>
      <c r="H37" t="str">
        <v>EEM</v>
      </c>
      <c r="I37" t="str">
        <v>lognormal</v>
      </c>
      <c r="J37">
        <v>1E-4</v>
      </c>
    </row>
    <row r="38" spans="1:10" x14ac:dyDescent="0.25">
      <c r="A38" t="str">
        <v>LQD</v>
      </c>
      <c r="B38" t="str">
        <v>Credit</v>
      </c>
      <c r="C38" t="str">
        <v>USD</v>
      </c>
      <c r="D38">
        <v>0</v>
      </c>
      <c r="E38">
        <v>0</v>
      </c>
      <c r="F38" t="str">
        <v>iShares iBoxx $ Investment Grade Corporate Bond ETF</v>
      </c>
      <c r="G38" t="str">
        <v>yfinance</v>
      </c>
      <c r="H38" t="str">
        <v>LQD</v>
      </c>
      <c r="I38" t="str">
        <v>lognormal</v>
      </c>
      <c r="J38">
        <v>1E-4</v>
      </c>
    </row>
    <row r="39" spans="1:10" x14ac:dyDescent="0.25">
      <c r="A39" t="str">
        <v>BSV</v>
      </c>
      <c r="B39" t="str">
        <v>Credit</v>
      </c>
      <c r="C39" t="str">
        <v>USD</v>
      </c>
      <c r="D39">
        <v>0</v>
      </c>
      <c r="E39">
        <v>0</v>
      </c>
      <c r="F39" t="str">
        <v>Vanguard Short-Term Bond Index Fund ETF</v>
      </c>
      <c r="G39" t="str">
        <v>yfinance</v>
      </c>
      <c r="H39" t="str">
        <v>BSV</v>
      </c>
      <c r="I39" t="str">
        <v>lognormal</v>
      </c>
      <c r="J39">
        <v>1E-4</v>
      </c>
    </row>
    <row r="40" spans="1:10" x14ac:dyDescent="0.25">
      <c r="A40" t="str">
        <v>HYG</v>
      </c>
      <c r="B40" t="str">
        <v>Credit</v>
      </c>
      <c r="C40" t="str">
        <v>USD</v>
      </c>
      <c r="D40">
        <v>0</v>
      </c>
      <c r="E40">
        <v>0</v>
      </c>
      <c r="F40" t="str">
        <v>iShares iBoxx $ High Yield Corporate Bond ETF</v>
      </c>
      <c r="G40" t="str">
        <v>yfinance</v>
      </c>
      <c r="H40" t="str">
        <v>HYG</v>
      </c>
      <c r="I40" t="str">
        <v>lognormal</v>
      </c>
      <c r="J40">
        <v>1E-4</v>
      </c>
    </row>
    <row r="41" spans="1:10" x14ac:dyDescent="0.25">
      <c r="A41" t="str">
        <v>LQDH</v>
      </c>
      <c r="B41" t="str">
        <v>Credit</v>
      </c>
      <c r="C41" t="str">
        <v>USD</v>
      </c>
      <c r="D41">
        <v>1</v>
      </c>
      <c r="E41">
        <v>0</v>
      </c>
      <c r="F41" t="str">
        <v>Hedged LQD</v>
      </c>
      <c r="G41" t="str">
        <v>yfinance</v>
      </c>
      <c r="H41" t="str">
        <v>LQDH</v>
      </c>
      <c r="I41" t="str">
        <v>lognormal</v>
      </c>
      <c r="J41">
        <v>1E-4</v>
      </c>
    </row>
    <row r="42" spans="1:10" x14ac:dyDescent="0.25">
      <c r="A42" t="str">
        <v>HYGH</v>
      </c>
      <c r="B42" t="str">
        <v>Credit</v>
      </c>
      <c r="C42" t="str">
        <v>USD</v>
      </c>
      <c r="D42">
        <v>0</v>
      </c>
      <c r="E42">
        <v>0</v>
      </c>
      <c r="F42" t="str">
        <v>Hedged HYG</v>
      </c>
      <c r="G42" t="str">
        <v>yfinance</v>
      </c>
      <c r="H42" t="str">
        <v>HYGH</v>
      </c>
      <c r="I42" t="str">
        <v>lognormal</v>
      </c>
      <c r="J42">
        <v>1E-4</v>
      </c>
    </row>
    <row r="43" spans="1:10" x14ac:dyDescent="0.25">
      <c r="A43" t="str">
        <v>BKLN</v>
      </c>
      <c r="B43" t="str">
        <v>Credit</v>
      </c>
      <c r="C43" t="str">
        <v>USD</v>
      </c>
      <c r="D43">
        <v>0</v>
      </c>
      <c r="E43">
        <v>0</v>
      </c>
      <c r="F43" t="str">
        <v>Bank Loans</v>
      </c>
      <c r="G43" t="str">
        <v>yfinance</v>
      </c>
      <c r="H43" t="str">
        <v>BKLN</v>
      </c>
      <c r="I43" t="str">
        <v>lognormal</v>
      </c>
      <c r="J43">
        <v>1E-4</v>
      </c>
    </row>
    <row r="44" spans="1:10" x14ac:dyDescent="0.25">
      <c r="A44" t="str">
        <v>AGG</v>
      </c>
      <c r="B44" t="str">
        <v>Credit</v>
      </c>
      <c r="C44" t="str">
        <v>USD</v>
      </c>
      <c r="D44">
        <v>0</v>
      </c>
      <c r="E44">
        <v>0</v>
      </c>
      <c r="F44" t="str">
        <v>US Agg</v>
      </c>
      <c r="G44" t="str">
        <v>yfinance</v>
      </c>
      <c r="H44" t="str">
        <v>AGG</v>
      </c>
      <c r="I44" t="str">
        <v>lognormal</v>
      </c>
      <c r="J44">
        <v>1E-4</v>
      </c>
    </row>
    <row r="45" spans="1:10" x14ac:dyDescent="0.25">
      <c r="A45" t="str">
        <v>^TNX</v>
      </c>
      <c r="B45" t="str">
        <v>Rates</v>
      </c>
      <c r="C45" t="str">
        <v>USD</v>
      </c>
      <c r="D45">
        <v>0</v>
      </c>
      <c r="E45">
        <v>0</v>
      </c>
      <c r="F45" t="str">
        <v>CBOE Interest Rate 10 Year</v>
      </c>
      <c r="G45" t="str">
        <v>yfinance</v>
      </c>
      <c r="H45" t="str">
        <v>^TNX</v>
      </c>
      <c r="I45" t="str">
        <v>normal</v>
      </c>
      <c r="J45">
        <v>-0.01</v>
      </c>
    </row>
    <row r="46" spans="1:10" x14ac:dyDescent="0.25">
      <c r="A46" t="str">
        <v>SHY</v>
      </c>
      <c r="B46" t="str">
        <v>Rates</v>
      </c>
      <c r="C46" t="str">
        <v>USD</v>
      </c>
      <c r="D46">
        <v>0</v>
      </c>
      <c r="E46">
        <v>0</v>
      </c>
      <c r="F46" t="str">
        <v>1-3 Year Treasury</v>
      </c>
      <c r="G46" t="str">
        <v>yfinance</v>
      </c>
      <c r="H46" t="str">
        <v>SHY</v>
      </c>
      <c r="I46" t="str">
        <v>lognormal</v>
      </c>
      <c r="J46">
        <v>1E-4</v>
      </c>
    </row>
    <row r="47" spans="1:10" x14ac:dyDescent="0.25">
      <c r="A47" t="str">
        <v>IEI</v>
      </c>
      <c r="B47" t="str">
        <v>Rates</v>
      </c>
      <c r="C47" t="str">
        <v>USD</v>
      </c>
      <c r="D47">
        <v>0</v>
      </c>
      <c r="E47">
        <v>0</v>
      </c>
      <c r="F47" t="str">
        <v>3-7 Year Treasury</v>
      </c>
      <c r="G47" t="str">
        <v>yfinance</v>
      </c>
      <c r="H47" t="str">
        <v>IEI</v>
      </c>
      <c r="I47" t="str">
        <v>lognormal</v>
      </c>
      <c r="J47">
        <v>1E-4</v>
      </c>
    </row>
    <row r="48" spans="1:10" x14ac:dyDescent="0.25">
      <c r="A48" t="str">
        <v>IEF</v>
      </c>
      <c r="B48" t="str">
        <v>Rates</v>
      </c>
      <c r="C48" t="str">
        <v>USD</v>
      </c>
      <c r="D48">
        <v>1</v>
      </c>
      <c r="E48">
        <v>0</v>
      </c>
      <c r="F48" t="str">
        <v>7-10 Year Treasury</v>
      </c>
      <c r="G48" t="str">
        <v>yfinance</v>
      </c>
      <c r="H48" t="str">
        <v>IEF</v>
      </c>
      <c r="I48" t="str">
        <v>lognormal</v>
      </c>
      <c r="J48">
        <v>1E-4</v>
      </c>
    </row>
    <row r="49" spans="1:10" x14ac:dyDescent="0.25">
      <c r="A49" t="str">
        <v>TLT</v>
      </c>
      <c r="B49" t="str">
        <v>Rates</v>
      </c>
      <c r="C49" t="str">
        <v>USD</v>
      </c>
      <c r="D49">
        <v>0</v>
      </c>
      <c r="E49">
        <v>0</v>
      </c>
      <c r="F49" t="str">
        <v>20+ Year Treasury</v>
      </c>
      <c r="G49" t="str">
        <v>yfinance</v>
      </c>
      <c r="H49" t="str">
        <v>TLT</v>
      </c>
      <c r="I49" t="str">
        <v>lognormal</v>
      </c>
      <c r="J49">
        <v>1E-4</v>
      </c>
    </row>
    <row r="50" spans="1:10" x14ac:dyDescent="0.25">
      <c r="A50" t="str">
        <v>TIP</v>
      </c>
      <c r="B50" t="str">
        <v>Rates</v>
      </c>
      <c r="C50" t="str">
        <v>USD</v>
      </c>
      <c r="D50">
        <v>0</v>
      </c>
      <c r="E50">
        <v>0</v>
      </c>
      <c r="F50" t="str">
        <v>iShares TIPS Bond ETF</v>
      </c>
      <c r="G50" t="str">
        <v>yfinance</v>
      </c>
      <c r="H50" t="str">
        <v>TIP</v>
      </c>
      <c r="I50" t="str">
        <v>lognormal</v>
      </c>
      <c r="J50">
        <v>1E-4</v>
      </c>
    </row>
    <row r="51" spans="1:10" x14ac:dyDescent="0.25">
      <c r="A51" t="str">
        <v>VTIP</v>
      </c>
      <c r="B51" t="str">
        <v>Rates</v>
      </c>
      <c r="C51" t="str">
        <v>USD</v>
      </c>
      <c r="D51">
        <v>0</v>
      </c>
      <c r="E51">
        <v>0</v>
      </c>
      <c r="F51" t="str">
        <v>Short-Term Inflation-Protected Securities ETF</v>
      </c>
      <c r="G51" t="str">
        <v>yfinance</v>
      </c>
      <c r="H51" t="str">
        <v>VTIP</v>
      </c>
      <c r="I51" t="str">
        <v>lognormal</v>
      </c>
      <c r="J51">
        <v>1E-4</v>
      </c>
    </row>
    <row r="52" spans="1:10" x14ac:dyDescent="0.25">
      <c r="A52" t="str">
        <v>AGNC</v>
      </c>
      <c r="B52" t="str">
        <v>Rates</v>
      </c>
      <c r="C52" t="str">
        <v>USD</v>
      </c>
      <c r="D52">
        <v>0</v>
      </c>
      <c r="E52">
        <v>0</v>
      </c>
      <c r="F52" t="str">
        <v>AGNC Investment Corp.</v>
      </c>
      <c r="G52" t="str">
        <v>yfinance</v>
      </c>
      <c r="H52" t="str">
        <v>AGNC</v>
      </c>
      <c r="I52" t="str">
        <v>lognormal</v>
      </c>
      <c r="J52">
        <v>1E-4</v>
      </c>
    </row>
    <row r="53" spans="1:10" x14ac:dyDescent="0.25">
      <c r="A53" t="str">
        <v>VMBS</v>
      </c>
      <c r="B53" t="str">
        <v>Rates</v>
      </c>
      <c r="C53" t="str">
        <v>USD</v>
      </c>
      <c r="D53">
        <v>0</v>
      </c>
      <c r="E53">
        <v>0</v>
      </c>
      <c r="F53" t="str">
        <v>Mortgage-Backed Securities ETF</v>
      </c>
      <c r="G53" t="str">
        <v>yfinance</v>
      </c>
      <c r="H53" t="str">
        <v>VMBS</v>
      </c>
      <c r="I53" t="str">
        <v>lognormal</v>
      </c>
      <c r="J53">
        <v>1E-4</v>
      </c>
    </row>
    <row r="54" spans="1:10" x14ac:dyDescent="0.25">
      <c r="A54" t="str">
        <v>CMBS</v>
      </c>
      <c r="B54" t="str">
        <v>Rates</v>
      </c>
      <c r="C54" t="str">
        <v>USD</v>
      </c>
      <c r="D54">
        <v>0</v>
      </c>
      <c r="E54">
        <v>0</v>
      </c>
      <c r="F54" t="str">
        <v>iShares CMBS ETF</v>
      </c>
      <c r="G54" t="str">
        <v>yfinance</v>
      </c>
      <c r="H54" t="str">
        <v>CMBS</v>
      </c>
      <c r="I54" t="str">
        <v>lognormal</v>
      </c>
      <c r="J54">
        <v>1E-4</v>
      </c>
    </row>
    <row r="55" spans="1:10" x14ac:dyDescent="0.25">
      <c r="A55" t="str">
        <v>EMB</v>
      </c>
      <c r="B55" t="str">
        <v>Rates</v>
      </c>
      <c r="C55" t="str">
        <v>EM</v>
      </c>
      <c r="D55">
        <v>0</v>
      </c>
      <c r="E55">
        <v>0</v>
      </c>
      <c r="F55" t="str">
        <v>iShares J.P. Morgan USD Emerging Markets Bond ETF</v>
      </c>
      <c r="G55" t="str">
        <v>yfinance</v>
      </c>
      <c r="H55" t="str">
        <v>EMB</v>
      </c>
      <c r="I55" t="str">
        <v>lognormal</v>
      </c>
      <c r="J55">
        <v>1E-4</v>
      </c>
    </row>
    <row r="56" spans="1:10" x14ac:dyDescent="0.25">
      <c r="A56" t="str">
        <v>GLD</v>
      </c>
      <c r="B56" t="str">
        <v>Commodities</v>
      </c>
      <c r="C56" t="str">
        <v>USD</v>
      </c>
      <c r="D56">
        <v>0</v>
      </c>
      <c r="E56">
        <v>0</v>
      </c>
      <c r="F56" t="str">
        <v>SPDR Gold Shares</v>
      </c>
      <c r="G56" t="str">
        <v>yfinance</v>
      </c>
      <c r="H56" t="str">
        <v>GLD</v>
      </c>
      <c r="I56" t="str">
        <v>lognormal</v>
      </c>
      <c r="J56">
        <v>1E-4</v>
      </c>
    </row>
    <row r="57" spans="1:10" x14ac:dyDescent="0.25">
      <c r="A57" t="str">
        <v>SLV</v>
      </c>
      <c r="B57" t="str">
        <v>Commodities</v>
      </c>
      <c r="C57" t="str">
        <v>USD</v>
      </c>
      <c r="D57">
        <v>0</v>
      </c>
      <c r="E57">
        <v>0</v>
      </c>
      <c r="F57" t="str">
        <v>iShares Silver Trust</v>
      </c>
      <c r="G57" t="str">
        <v>yfinance</v>
      </c>
      <c r="H57" t="str">
        <v>SLV</v>
      </c>
      <c r="I57" t="str">
        <v>lognormal</v>
      </c>
      <c r="J57">
        <v>1E-4</v>
      </c>
    </row>
    <row r="58" spans="1:10" x14ac:dyDescent="0.25">
      <c r="A58" t="str">
        <v>USO</v>
      </c>
      <c r="B58" t="str">
        <v>Commodities</v>
      </c>
      <c r="C58" t="str">
        <v>USD</v>
      </c>
      <c r="D58">
        <v>0</v>
      </c>
      <c r="E58">
        <v>0</v>
      </c>
      <c r="F58" t="str">
        <v>United States Oil Fund</v>
      </c>
      <c r="G58" t="str">
        <v>yfinance</v>
      </c>
      <c r="H58" t="str">
        <v>USO</v>
      </c>
      <c r="I58" t="str">
        <v>lognormal</v>
      </c>
      <c r="J58">
        <v>1E-4</v>
      </c>
    </row>
    <row r="59" spans="1:10" x14ac:dyDescent="0.25">
      <c r="A59" t="str">
        <v>UUP</v>
      </c>
      <c r="B59" t="str">
        <v>Currencies</v>
      </c>
      <c r="C59" t="str">
        <v>USD</v>
      </c>
      <c r="D59">
        <v>0</v>
      </c>
      <c r="E59">
        <v>0</v>
      </c>
      <c r="F59" t="str">
        <v>Invesco DB US Dollar Index Bullish Fund</v>
      </c>
      <c r="G59" t="str">
        <v>yfinance</v>
      </c>
      <c r="H59" t="str">
        <v>UUP</v>
      </c>
      <c r="I59" t="str">
        <v>lognormal</v>
      </c>
      <c r="J59">
        <v>1E-4</v>
      </c>
    </row>
    <row r="60" spans="1:10" x14ac:dyDescent="0.25">
      <c r="A60" t="str">
        <v>DX-Y.NYB</v>
      </c>
      <c r="B60" t="str">
        <v>Currencies</v>
      </c>
      <c r="C60" t="str">
        <v>USD</v>
      </c>
      <c r="D60">
        <v>0</v>
      </c>
      <c r="E60">
        <v>0</v>
      </c>
      <c r="F60" t="str">
        <v>U.S. Dollar Index</v>
      </c>
      <c r="G60" t="str">
        <v>yfinance</v>
      </c>
      <c r="H60" t="str">
        <v>DX-Y.NYB</v>
      </c>
      <c r="I60" t="str">
        <v>lognormal</v>
      </c>
      <c r="J60">
        <v>1E-4</v>
      </c>
    </row>
    <row r="61" spans="1:10" x14ac:dyDescent="0.25">
      <c r="A61" t="str">
        <v>FXE</v>
      </c>
      <c r="B61" t="str">
        <v>Currencies</v>
      </c>
      <c r="C61" t="str">
        <v>EUR</v>
      </c>
      <c r="D61">
        <v>0</v>
      </c>
      <c r="E61">
        <v>0</v>
      </c>
      <c r="F61" t="str">
        <v>Invesco CurrencyShares Euro Trust</v>
      </c>
      <c r="G61" t="str">
        <v>yfinance</v>
      </c>
      <c r="H61" t="str">
        <v>FXE</v>
      </c>
      <c r="I61" t="str">
        <v>lognormal</v>
      </c>
      <c r="J61">
        <v>1E-4</v>
      </c>
    </row>
    <row r="62" spans="1:10" x14ac:dyDescent="0.25">
      <c r="A62" t="str">
        <v>FXF</v>
      </c>
      <c r="B62" t="str">
        <v>Currencies</v>
      </c>
      <c r="C62" t="str">
        <v>EUR</v>
      </c>
      <c r="D62">
        <v>0</v>
      </c>
      <c r="E62">
        <v>0</v>
      </c>
      <c r="F62" t="str">
        <v>Invesco CurrencyShares Swiss Franc Trust</v>
      </c>
      <c r="G62" t="str">
        <v>yfinance</v>
      </c>
      <c r="H62" t="str">
        <v>FXF</v>
      </c>
      <c r="I62" t="str">
        <v>lognormal</v>
      </c>
      <c r="J62">
        <v>1E-4</v>
      </c>
    </row>
    <row r="63" spans="1:10" x14ac:dyDescent="0.25">
      <c r="A63" t="str">
        <v>FXA</v>
      </c>
      <c r="B63" t="str">
        <v>Currencies</v>
      </c>
      <c r="C63" t="str">
        <v>Commod</v>
      </c>
      <c r="D63">
        <v>0</v>
      </c>
      <c r="E63">
        <v>0</v>
      </c>
      <c r="F63" t="str">
        <v>Invesco CurrencyShares Australian Dollar Trust</v>
      </c>
      <c r="G63" t="str">
        <v>yfinance</v>
      </c>
      <c r="H63" t="str">
        <v>FXA</v>
      </c>
      <c r="I63" t="str">
        <v>lognormal</v>
      </c>
      <c r="J63">
        <v>1E-4</v>
      </c>
    </row>
    <row r="64" spans="1:10" x14ac:dyDescent="0.25">
      <c r="A64" t="str">
        <v>FXB</v>
      </c>
      <c r="B64" t="str">
        <v>Currencies</v>
      </c>
      <c r="C64" t="str">
        <v>GBP</v>
      </c>
      <c r="D64">
        <v>0</v>
      </c>
      <c r="E64">
        <v>0</v>
      </c>
      <c r="F64" t="str">
        <v>Invesco CurrencyShares British Pound Sterling Trust</v>
      </c>
      <c r="G64" t="str">
        <v>yfinance</v>
      </c>
      <c r="H64" t="str">
        <v>FXB</v>
      </c>
      <c r="I64" t="str">
        <v>lognormal</v>
      </c>
      <c r="J64">
        <v>1E-4</v>
      </c>
    </row>
    <row r="65" spans="1:10" x14ac:dyDescent="0.25">
      <c r="A65" t="str">
        <v>FXC</v>
      </c>
      <c r="B65" t="str">
        <v>Currencies</v>
      </c>
      <c r="C65" t="str">
        <v>USD</v>
      </c>
      <c r="D65">
        <v>0</v>
      </c>
      <c r="E65">
        <v>0</v>
      </c>
      <c r="F65" t="str">
        <v>Invesco CurrencyShares Canadian Dollar Trust</v>
      </c>
      <c r="G65" t="str">
        <v>yfinance</v>
      </c>
      <c r="H65" t="str">
        <v>FXC</v>
      </c>
      <c r="I65" t="str">
        <v>lognormal</v>
      </c>
      <c r="J65">
        <v>1E-4</v>
      </c>
    </row>
    <row r="66" spans="1:10" x14ac:dyDescent="0.25">
      <c r="A66" t="str">
        <v>FXY</v>
      </c>
      <c r="B66" t="str">
        <v>Currencies</v>
      </c>
      <c r="C66" t="str">
        <v>JPY</v>
      </c>
      <c r="D66">
        <v>0</v>
      </c>
      <c r="E66">
        <v>0</v>
      </c>
      <c r="F66" t="str">
        <v>Invesco CurrencyShares Japanese Yen Trust</v>
      </c>
      <c r="G66" t="str">
        <v>yfinance</v>
      </c>
      <c r="H66" t="str">
        <v>FXY</v>
      </c>
      <c r="I66" t="str">
        <v>lognormal</v>
      </c>
      <c r="J66">
        <v>1E-4</v>
      </c>
    </row>
    <row r="67" spans="1:10" x14ac:dyDescent="0.25">
      <c r="A67" t="str">
        <v>^VIX</v>
      </c>
      <c r="B67" t="str">
        <v>Vol</v>
      </c>
      <c r="C67" t="str">
        <v>USD</v>
      </c>
      <c r="D67">
        <v>0</v>
      </c>
      <c r="E67">
        <v>0</v>
      </c>
      <c r="F67" t="str">
        <v>CBOE Volatility Index</v>
      </c>
      <c r="G67" t="str">
        <v>yfinance</v>
      </c>
      <c r="H67" t="str">
        <v>^VIX</v>
      </c>
      <c r="I67" t="str">
        <v>normal</v>
      </c>
      <c r="J67">
        <v>-0.01</v>
      </c>
    </row>
    <row r="68" spans="1:10" x14ac:dyDescent="0.25">
      <c r="A68" t="str">
        <v>VXX</v>
      </c>
      <c r="B68" t="str">
        <v>Vol</v>
      </c>
      <c r="C68" t="str">
        <v>USD</v>
      </c>
      <c r="D68">
        <v>0</v>
      </c>
      <c r="E68">
        <v>0</v>
      </c>
      <c r="F68" t="str">
        <v>VIX Short-Term Futures ETN</v>
      </c>
      <c r="G68" t="str">
        <v>yfinance</v>
      </c>
      <c r="H68" t="str">
        <v>VXX</v>
      </c>
      <c r="I68" t="str">
        <v>normal</v>
      </c>
      <c r="J68">
        <v>-0.01</v>
      </c>
    </row>
    <row r="69" spans="1:10" x14ac:dyDescent="0.25">
      <c r="A69" t="str">
        <v>^VIX3M</v>
      </c>
      <c r="B69" t="str">
        <v>Vol</v>
      </c>
      <c r="C69" t="str">
        <v>USD</v>
      </c>
      <c r="D69">
        <v>0</v>
      </c>
      <c r="E69">
        <v>0</v>
      </c>
      <c r="F69" t="str">
        <v>CBOE S&amp;P 500 3-Month Volatility</v>
      </c>
      <c r="G69" t="str">
        <v>yfinance</v>
      </c>
      <c r="H69" t="str">
        <v>^VIX3M</v>
      </c>
      <c r="I69" t="str">
        <v>normal</v>
      </c>
      <c r="J69">
        <v>-0.01</v>
      </c>
    </row>
    <row r="70" spans="1:10" x14ac:dyDescent="0.25">
      <c r="A70" t="str">
        <v>^MOVE</v>
      </c>
      <c r="B70" t="str">
        <v>Vol</v>
      </c>
      <c r="C70" t="str">
        <v>USD</v>
      </c>
      <c r="D70">
        <v>0</v>
      </c>
      <c r="E70">
        <v>0</v>
      </c>
      <c r="F70" t="str">
        <v>ICE BofAML MOVE Index</v>
      </c>
      <c r="G70" t="str">
        <v>yfinance</v>
      </c>
      <c r="H70" t="str">
        <v>^MOVE</v>
      </c>
      <c r="I70" t="str">
        <v>normal</v>
      </c>
      <c r="J70">
        <v>-0.01</v>
      </c>
    </row>
    <row r="71" spans="1:10" x14ac:dyDescent="0.25">
      <c r="A71" t="str">
        <v>^OVX</v>
      </c>
      <c r="B71" t="str">
        <v>Vol</v>
      </c>
      <c r="C71" t="str">
        <v>USD</v>
      </c>
      <c r="D71">
        <v>0</v>
      </c>
      <c r="E71">
        <v>0</v>
      </c>
      <c r="F71" t="str">
        <v>CBOE Crude Oil Volatility Index</v>
      </c>
      <c r="G71" t="str">
        <v>yfinance</v>
      </c>
      <c r="H71" t="str">
        <v>^OVX</v>
      </c>
      <c r="I71" t="str">
        <v>normal</v>
      </c>
      <c r="J71">
        <v>-0.01</v>
      </c>
    </row>
    <row r="72" spans="1:10" x14ac:dyDescent="0.25">
      <c r="A72" t="str">
        <v>^GVZ</v>
      </c>
      <c r="B72" t="str">
        <v>Vol</v>
      </c>
      <c r="C72" t="str">
        <v>USD</v>
      </c>
      <c r="D72">
        <v>0</v>
      </c>
      <c r="E72">
        <v>0</v>
      </c>
      <c r="F72" t="str">
        <v>CBOE Gold Volatility Index</v>
      </c>
      <c r="G72" t="str">
        <v>yfinance</v>
      </c>
      <c r="H72" t="str">
        <v>^GVZ</v>
      </c>
      <c r="I72" t="str">
        <v>normal</v>
      </c>
      <c r="J72">
        <v>-0.01</v>
      </c>
    </row>
    <row r="73" spans="1:10" x14ac:dyDescent="0.25">
      <c r="A73" t="str">
        <v>MWTIX</v>
      </c>
      <c r="B73" t="str">
        <v>Portfolio</v>
      </c>
      <c r="C73" t="str">
        <v>USD</v>
      </c>
      <c r="D73">
        <v>1</v>
      </c>
      <c r="E73">
        <v>0</v>
      </c>
      <c r="F73" t="str">
        <v>TCW MetWest Total Return Bd I</v>
      </c>
      <c r="G73" t="str">
        <v>yfinance</v>
      </c>
      <c r="H73" t="str">
        <v>MWTIX</v>
      </c>
      <c r="I73" t="str">
        <v>lognormal</v>
      </c>
      <c r="J73">
        <v>1E-4</v>
      </c>
    </row>
    <row r="74" spans="1:10" x14ac:dyDescent="0.25">
      <c r="A74" t="str">
        <v>FCNTX</v>
      </c>
      <c r="B74" t="str">
        <v>Portfolio</v>
      </c>
      <c r="C74" t="str">
        <v>USD</v>
      </c>
      <c r="D74">
        <v>0</v>
      </c>
      <c r="E74">
        <v>0</v>
      </c>
      <c r="F74" t="str">
        <v>Fidelity Contrafund</v>
      </c>
      <c r="G74" t="str">
        <v>yfinance</v>
      </c>
      <c r="H74" t="str">
        <v>FCNTX</v>
      </c>
      <c r="I74" t="str">
        <v>lognormal</v>
      </c>
      <c r="J74">
        <v>1E-4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BD7F-9323-4F6D-98BF-C1B39119DCDE}">
  <sheetPr codeName="Sheet8"/>
  <dimension ref="A1:J85"/>
  <sheetViews>
    <sheetView showGridLines="0"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6" max="6" width="44.28515625" bestFit="1" customWidth="1"/>
  </cols>
  <sheetData>
    <row r="1" spans="1:10" x14ac:dyDescent="0.25">
      <c r="A1" t="s">
        <v>2</v>
      </c>
      <c r="B1" t="s">
        <v>322</v>
      </c>
      <c r="C1" t="s">
        <v>316</v>
      </c>
      <c r="D1" t="s">
        <v>428</v>
      </c>
      <c r="E1" t="s">
        <v>445</v>
      </c>
      <c r="F1" t="s">
        <v>19</v>
      </c>
      <c r="G1" t="s">
        <v>466</v>
      </c>
      <c r="H1" t="s">
        <v>465</v>
      </c>
      <c r="I1" t="s">
        <v>464</v>
      </c>
      <c r="J1" t="s">
        <v>468</v>
      </c>
    </row>
    <row r="2" spans="1:10" x14ac:dyDescent="0.25">
      <c r="A2" t="str" cm="1">
        <f t="array" ref="A2:A85">_xlfn._xlws.FILTER(data[factor_name],data[Active]*(data[client]=0))</f>
        <v>SPY</v>
      </c>
      <c r="B2" t="str" cm="1">
        <f t="array" ref="B2:J85">INDEX(data[],_xlfn.XMATCH(_xlfn.ANCHORARRAY(A2),data[factor_name]),_xlfn.XMATCH(B1:J1,data[#Headers]))</f>
        <v>Equities</v>
      </c>
      <c r="C2" t="str">
        <v>USD</v>
      </c>
      <c r="D2">
        <v>1</v>
      </c>
      <c r="E2">
        <v>0</v>
      </c>
      <c r="F2" t="str">
        <v>S&amp;P 500</v>
      </c>
      <c r="G2" t="str">
        <v>yfinance</v>
      </c>
      <c r="H2" t="str">
        <v>SPY</v>
      </c>
      <c r="I2" t="str">
        <v>lognormal</v>
      </c>
      <c r="J2">
        <v>1E-4</v>
      </c>
    </row>
    <row r="3" spans="1:10" x14ac:dyDescent="0.25">
      <c r="A3" t="str">
        <v>IWM</v>
      </c>
      <c r="B3" t="str">
        <v>Equities</v>
      </c>
      <c r="C3" t="str">
        <v>USD</v>
      </c>
      <c r="D3">
        <v>0</v>
      </c>
      <c r="E3">
        <v>0</v>
      </c>
      <c r="F3" t="str">
        <v>Russell 2000</v>
      </c>
      <c r="G3" t="str">
        <v>yfinance</v>
      </c>
      <c r="H3" t="str">
        <v>IWM</v>
      </c>
      <c r="I3" t="str">
        <v>lognormal</v>
      </c>
      <c r="J3">
        <v>1E-4</v>
      </c>
    </row>
    <row r="4" spans="1:10" x14ac:dyDescent="0.25">
      <c r="A4" t="str">
        <v>MDY</v>
      </c>
      <c r="B4" t="str">
        <v>Equities</v>
      </c>
      <c r="C4" t="str">
        <v>USD</v>
      </c>
      <c r="D4">
        <v>0</v>
      </c>
      <c r="E4">
        <v>0</v>
      </c>
      <c r="F4" t="str">
        <v>S&amp;P 400</v>
      </c>
      <c r="G4" t="str">
        <v>yfinance</v>
      </c>
      <c r="H4" t="str">
        <v>MDY</v>
      </c>
      <c r="I4" t="str">
        <v>lognormal</v>
      </c>
      <c r="J4">
        <v>1E-4</v>
      </c>
    </row>
    <row r="5" spans="1:10" x14ac:dyDescent="0.25">
      <c r="A5" t="str">
        <v>RSP</v>
      </c>
      <c r="B5" t="str">
        <v>Equities</v>
      </c>
      <c r="C5" t="str">
        <v>USD</v>
      </c>
      <c r="D5">
        <v>0</v>
      </c>
      <c r="E5">
        <v>0</v>
      </c>
      <c r="F5" t="str">
        <v>S&amp;P 500 EW</v>
      </c>
      <c r="G5" t="str">
        <v>yfinance</v>
      </c>
      <c r="H5" t="str">
        <v>RSP</v>
      </c>
      <c r="I5" t="str">
        <v>lognormal</v>
      </c>
      <c r="J5">
        <v>1E-4</v>
      </c>
    </row>
    <row r="6" spans="1:10" x14ac:dyDescent="0.25">
      <c r="A6" t="str">
        <v>QQQ</v>
      </c>
      <c r="B6" t="str">
        <v>Equities</v>
      </c>
      <c r="C6" t="str">
        <v>USD</v>
      </c>
      <c r="D6">
        <v>0</v>
      </c>
      <c r="E6">
        <v>0</v>
      </c>
      <c r="F6" t="str">
        <v>Nasdaq 100</v>
      </c>
      <c r="G6" t="str">
        <v>yfinance</v>
      </c>
      <c r="H6" t="str">
        <v>QQQ</v>
      </c>
      <c r="I6" t="str">
        <v>lognormal</v>
      </c>
      <c r="J6">
        <v>1E-4</v>
      </c>
    </row>
    <row r="7" spans="1:10" x14ac:dyDescent="0.25">
      <c r="A7" t="str">
        <v>DIA</v>
      </c>
      <c r="B7" t="str">
        <v>Equities</v>
      </c>
      <c r="C7" t="str">
        <v>USD</v>
      </c>
      <c r="D7">
        <v>0</v>
      </c>
      <c r="E7">
        <v>0</v>
      </c>
      <c r="F7" t="str">
        <v>Dow Jones 30</v>
      </c>
      <c r="G7" t="str">
        <v>yfinance</v>
      </c>
      <c r="H7" t="str">
        <v>DIA</v>
      </c>
      <c r="I7" t="str">
        <v>lognormal</v>
      </c>
      <c r="J7">
        <v>1E-4</v>
      </c>
    </row>
    <row r="8" spans="1:10" x14ac:dyDescent="0.25">
      <c r="A8" t="str">
        <v>XLK</v>
      </c>
      <c r="B8" t="str">
        <v>Sector</v>
      </c>
      <c r="C8" t="str">
        <v>USD</v>
      </c>
      <c r="D8">
        <v>0</v>
      </c>
      <c r="E8">
        <v>0</v>
      </c>
      <c r="F8" t="str">
        <v>Technology</v>
      </c>
      <c r="G8" t="str">
        <v>yfinance</v>
      </c>
      <c r="H8" t="str">
        <v>XLK</v>
      </c>
      <c r="I8" t="str">
        <v>lognormal</v>
      </c>
      <c r="J8">
        <v>1E-4</v>
      </c>
    </row>
    <row r="9" spans="1:10" x14ac:dyDescent="0.25">
      <c r="A9" t="str">
        <v>XLI</v>
      </c>
      <c r="B9" t="str">
        <v>Sector</v>
      </c>
      <c r="C9" t="str">
        <v>USD</v>
      </c>
      <c r="D9">
        <v>0</v>
      </c>
      <c r="E9">
        <v>0</v>
      </c>
      <c r="F9" t="str">
        <v>Industrials</v>
      </c>
      <c r="G9" t="str">
        <v>yfinance</v>
      </c>
      <c r="H9" t="str">
        <v>XLI</v>
      </c>
      <c r="I9" t="str">
        <v>lognormal</v>
      </c>
      <c r="J9">
        <v>1E-4</v>
      </c>
    </row>
    <row r="10" spans="1:10" x14ac:dyDescent="0.25">
      <c r="A10" t="str">
        <v>XLF</v>
      </c>
      <c r="B10" t="str">
        <v>Sector</v>
      </c>
      <c r="C10" t="str">
        <v>USD</v>
      </c>
      <c r="D10">
        <v>0</v>
      </c>
      <c r="E10">
        <v>0</v>
      </c>
      <c r="F10" t="str">
        <v>Financials</v>
      </c>
      <c r="G10" t="str">
        <v>yfinance</v>
      </c>
      <c r="H10" t="str">
        <v>XLF</v>
      </c>
      <c r="I10" t="str">
        <v>lognormal</v>
      </c>
      <c r="J10">
        <v>1E-4</v>
      </c>
    </row>
    <row r="11" spans="1:10" x14ac:dyDescent="0.25">
      <c r="A11" t="str">
        <v>KRE</v>
      </c>
      <c r="B11" t="str">
        <v>Sector</v>
      </c>
      <c r="C11" t="str">
        <v>USD</v>
      </c>
      <c r="D11">
        <v>0</v>
      </c>
      <c r="E11">
        <v>0</v>
      </c>
      <c r="F11" t="str">
        <v>Regional Banks</v>
      </c>
      <c r="G11" t="str">
        <v>yfinance</v>
      </c>
      <c r="H11" t="str">
        <v>KRE</v>
      </c>
      <c r="I11" t="str">
        <v>lognormal</v>
      </c>
      <c r="J11">
        <v>1E-4</v>
      </c>
    </row>
    <row r="12" spans="1:10" x14ac:dyDescent="0.25">
      <c r="A12" t="str">
        <v>XLC</v>
      </c>
      <c r="B12" t="str">
        <v>Sector</v>
      </c>
      <c r="C12" t="str">
        <v>USD</v>
      </c>
      <c r="D12">
        <v>0</v>
      </c>
      <c r="E12">
        <v>0</v>
      </c>
      <c r="F12" t="str">
        <v>Communications</v>
      </c>
      <c r="G12" t="str">
        <v>yfinance</v>
      </c>
      <c r="H12" t="str">
        <v>XLC</v>
      </c>
      <c r="I12" t="str">
        <v>lognormal</v>
      </c>
      <c r="J12">
        <v>1E-4</v>
      </c>
    </row>
    <row r="13" spans="1:10" x14ac:dyDescent="0.25">
      <c r="A13" t="str">
        <v>XLE</v>
      </c>
      <c r="B13" t="str">
        <v>Sector</v>
      </c>
      <c r="C13" t="str">
        <v>USD</v>
      </c>
      <c r="D13">
        <v>0</v>
      </c>
      <c r="E13">
        <v>0</v>
      </c>
      <c r="F13" t="str">
        <v>Energy</v>
      </c>
      <c r="G13" t="str">
        <v>yfinance</v>
      </c>
      <c r="H13" t="str">
        <v>XLE</v>
      </c>
      <c r="I13" t="str">
        <v>lognormal</v>
      </c>
      <c r="J13">
        <v>1E-4</v>
      </c>
    </row>
    <row r="14" spans="1:10" x14ac:dyDescent="0.25">
      <c r="A14" t="str">
        <v>XLY</v>
      </c>
      <c r="B14" t="str">
        <v>Sector</v>
      </c>
      <c r="C14" t="str">
        <v>USD</v>
      </c>
      <c r="D14">
        <v>0</v>
      </c>
      <c r="E14">
        <v>0</v>
      </c>
      <c r="F14" t="str">
        <v>Discretionary</v>
      </c>
      <c r="G14" t="str">
        <v>yfinance</v>
      </c>
      <c r="H14" t="str">
        <v>XLY</v>
      </c>
      <c r="I14" t="str">
        <v>lognormal</v>
      </c>
      <c r="J14">
        <v>1E-4</v>
      </c>
    </row>
    <row r="15" spans="1:10" x14ac:dyDescent="0.25">
      <c r="A15" t="str">
        <v>XLB</v>
      </c>
      <c r="B15" t="str">
        <v>Sector</v>
      </c>
      <c r="C15" t="str">
        <v>USD</v>
      </c>
      <c r="D15">
        <v>0</v>
      </c>
      <c r="E15">
        <v>0</v>
      </c>
      <c r="F15" t="str">
        <v>Materials</v>
      </c>
      <c r="G15" t="str">
        <v>yfinance</v>
      </c>
      <c r="H15" t="str">
        <v>XLB</v>
      </c>
      <c r="I15" t="str">
        <v>lognormal</v>
      </c>
      <c r="J15">
        <v>1E-4</v>
      </c>
    </row>
    <row r="16" spans="1:10" x14ac:dyDescent="0.25">
      <c r="A16" t="str">
        <v>XLV</v>
      </c>
      <c r="B16" t="str">
        <v>Sector</v>
      </c>
      <c r="C16" t="str">
        <v>USD</v>
      </c>
      <c r="D16">
        <v>0</v>
      </c>
      <c r="E16">
        <v>0</v>
      </c>
      <c r="F16" t="str">
        <v>Health Care</v>
      </c>
      <c r="G16" t="str">
        <v>yfinance</v>
      </c>
      <c r="H16" t="str">
        <v>XLV</v>
      </c>
      <c r="I16" t="str">
        <v>lognormal</v>
      </c>
      <c r="J16">
        <v>1E-4</v>
      </c>
    </row>
    <row r="17" spans="1:10" x14ac:dyDescent="0.25">
      <c r="A17" t="str">
        <v>XLU</v>
      </c>
      <c r="B17" t="str">
        <v>Sector</v>
      </c>
      <c r="C17" t="str">
        <v>USD</v>
      </c>
      <c r="D17">
        <v>0</v>
      </c>
      <c r="E17">
        <v>0</v>
      </c>
      <c r="F17" t="str">
        <v>Utilities</v>
      </c>
      <c r="G17" t="str">
        <v>yfinance</v>
      </c>
      <c r="H17" t="str">
        <v>XLU</v>
      </c>
      <c r="I17" t="str">
        <v>lognormal</v>
      </c>
      <c r="J17">
        <v>1E-4</v>
      </c>
    </row>
    <row r="18" spans="1:10" x14ac:dyDescent="0.25">
      <c r="A18" t="str">
        <v>XLP</v>
      </c>
      <c r="B18" t="str">
        <v>Sector</v>
      </c>
      <c r="C18" t="str">
        <v>USD</v>
      </c>
      <c r="D18">
        <v>0</v>
      </c>
      <c r="E18">
        <v>0</v>
      </c>
      <c r="F18" t="str">
        <v>Staples</v>
      </c>
      <c r="G18" t="str">
        <v>yfinance</v>
      </c>
      <c r="H18" t="str">
        <v>XLP</v>
      </c>
      <c r="I18" t="str">
        <v>lognormal</v>
      </c>
      <c r="J18">
        <v>1E-4</v>
      </c>
    </row>
    <row r="19" spans="1:10" x14ac:dyDescent="0.25">
      <c r="A19" t="str">
        <v>IYR</v>
      </c>
      <c r="B19" t="str">
        <v>Equities</v>
      </c>
      <c r="C19" t="str">
        <v>USD</v>
      </c>
      <c r="D19">
        <v>0</v>
      </c>
      <c r="E19">
        <v>0</v>
      </c>
      <c r="F19" t="str">
        <v>iShares U.S. Real Estate ETF</v>
      </c>
      <c r="G19" t="str">
        <v>yfinance</v>
      </c>
      <c r="H19" t="str">
        <v>IYR</v>
      </c>
      <c r="I19" t="str">
        <v>lognormal</v>
      </c>
      <c r="J19">
        <v>1E-4</v>
      </c>
    </row>
    <row r="20" spans="1:10" x14ac:dyDescent="0.25">
      <c r="A20" t="str">
        <v>VNQ</v>
      </c>
      <c r="B20" t="str">
        <v>Equities</v>
      </c>
      <c r="C20" t="str">
        <v>USD</v>
      </c>
      <c r="D20">
        <v>0</v>
      </c>
      <c r="E20">
        <v>0</v>
      </c>
      <c r="F20" t="str">
        <v>Vanguard Real Estate ETF</v>
      </c>
      <c r="G20" t="str">
        <v>yfinance</v>
      </c>
      <c r="H20" t="str">
        <v>VNQ</v>
      </c>
      <c r="I20" t="str">
        <v>lognormal</v>
      </c>
      <c r="J20">
        <v>1E-4</v>
      </c>
    </row>
    <row r="21" spans="1:10" x14ac:dyDescent="0.25">
      <c r="A21" t="str">
        <v>SMH</v>
      </c>
      <c r="B21" t="str">
        <v>Equities</v>
      </c>
      <c r="C21" t="str">
        <v>USD</v>
      </c>
      <c r="D21">
        <v>0</v>
      </c>
      <c r="E21">
        <v>0</v>
      </c>
      <c r="F21" t="str">
        <v>Semiconductors</v>
      </c>
      <c r="G21" t="str">
        <v>yfinance</v>
      </c>
      <c r="H21" t="str">
        <v>SMH</v>
      </c>
      <c r="I21" t="str">
        <v>lognormal</v>
      </c>
      <c r="J21">
        <v>1E-4</v>
      </c>
    </row>
    <row r="22" spans="1:10" x14ac:dyDescent="0.25">
      <c r="A22" t="str">
        <v>IGV</v>
      </c>
      <c r="B22" t="str">
        <v>Equities</v>
      </c>
      <c r="C22" t="str">
        <v>USD</v>
      </c>
      <c r="D22">
        <v>0</v>
      </c>
      <c r="E22">
        <v>0</v>
      </c>
      <c r="F22" t="str">
        <v>Software</v>
      </c>
      <c r="G22" t="str">
        <v>yfinance</v>
      </c>
      <c r="H22" t="str">
        <v>IGV</v>
      </c>
      <c r="I22" t="str">
        <v>lognormal</v>
      </c>
      <c r="J22">
        <v>1E-4</v>
      </c>
    </row>
    <row r="23" spans="1:10" x14ac:dyDescent="0.25">
      <c r="A23" t="str">
        <v>AIQ</v>
      </c>
      <c r="B23" t="str">
        <v>Equities</v>
      </c>
      <c r="C23" t="str">
        <v>USD</v>
      </c>
      <c r="D23">
        <v>0</v>
      </c>
      <c r="E23">
        <v>0</v>
      </c>
      <c r="F23" t="str">
        <v>Artificial Intelligence</v>
      </c>
      <c r="G23" t="str">
        <v>yfinance</v>
      </c>
      <c r="H23" t="str">
        <v>AIQ</v>
      </c>
      <c r="I23" t="str">
        <v>lognormal</v>
      </c>
      <c r="J23">
        <v>1E-4</v>
      </c>
    </row>
    <row r="24" spans="1:10" x14ac:dyDescent="0.25">
      <c r="A24" t="str">
        <v>ICLN</v>
      </c>
      <c r="B24" t="str">
        <v>Equities</v>
      </c>
      <c r="C24" t="str">
        <v>USD</v>
      </c>
      <c r="D24">
        <v>0</v>
      </c>
      <c r="E24">
        <v>0</v>
      </c>
      <c r="F24" t="str">
        <v>Clean Energy</v>
      </c>
      <c r="G24" t="str">
        <v>yfinance</v>
      </c>
      <c r="H24" t="str">
        <v>ICLN</v>
      </c>
      <c r="I24" t="str">
        <v>lognormal</v>
      </c>
      <c r="J24">
        <v>1E-4</v>
      </c>
    </row>
    <row r="25" spans="1:10" x14ac:dyDescent="0.25">
      <c r="A25" t="str">
        <v>BIZD</v>
      </c>
      <c r="B25" t="str">
        <v>Equities</v>
      </c>
      <c r="C25" t="str">
        <v>USD</v>
      </c>
      <c r="D25">
        <v>0</v>
      </c>
      <c r="E25">
        <v>0</v>
      </c>
      <c r="F25" t="str">
        <v>Private Debt</v>
      </c>
      <c r="G25" t="str">
        <v>yfinance</v>
      </c>
      <c r="H25" t="str">
        <v>BIZD</v>
      </c>
      <c r="I25" t="str">
        <v>lognormal</v>
      </c>
      <c r="J25">
        <v>1E-4</v>
      </c>
    </row>
    <row r="26" spans="1:10" x14ac:dyDescent="0.25">
      <c r="A26" t="str">
        <v>PSP</v>
      </c>
      <c r="B26" t="str">
        <v>Equities</v>
      </c>
      <c r="C26" t="str">
        <v>USD</v>
      </c>
      <c r="D26">
        <v>0</v>
      </c>
      <c r="E26">
        <v>0</v>
      </c>
      <c r="F26" t="str">
        <v>Private Equity</v>
      </c>
      <c r="G26" t="str">
        <v>yfinance</v>
      </c>
      <c r="H26" t="str">
        <v>PSP</v>
      </c>
      <c r="I26" t="str">
        <v>lognormal</v>
      </c>
      <c r="J26">
        <v>1E-4</v>
      </c>
    </row>
    <row r="27" spans="1:10" x14ac:dyDescent="0.25">
      <c r="A27" t="str">
        <v>PFF</v>
      </c>
      <c r="B27" t="str">
        <v>Equities</v>
      </c>
      <c r="C27" t="str">
        <v>USD</v>
      </c>
      <c r="D27">
        <v>0</v>
      </c>
      <c r="E27">
        <v>0</v>
      </c>
      <c r="F27" t="str">
        <v>Preferred</v>
      </c>
      <c r="G27" t="str">
        <v>yfinance</v>
      </c>
      <c r="H27" t="str">
        <v>PFF</v>
      </c>
      <c r="I27" t="str">
        <v>lognormal</v>
      </c>
      <c r="J27">
        <v>1E-4</v>
      </c>
    </row>
    <row r="28" spans="1:10" x14ac:dyDescent="0.25">
      <c r="A28" t="str">
        <v>FEZ</v>
      </c>
      <c r="B28" t="str">
        <v>Equities</v>
      </c>
      <c r="C28" t="str">
        <v>USD</v>
      </c>
      <c r="D28">
        <v>0</v>
      </c>
      <c r="E28">
        <v>0</v>
      </c>
      <c r="F28" t="str">
        <v>Eurostoxx 50</v>
      </c>
      <c r="G28" t="str">
        <v>yfinance</v>
      </c>
      <c r="H28" t="str">
        <v>FEZ</v>
      </c>
      <c r="I28" t="str">
        <v>lognormal</v>
      </c>
      <c r="J28">
        <v>1E-4</v>
      </c>
    </row>
    <row r="29" spans="1:10" x14ac:dyDescent="0.25">
      <c r="A29" t="str">
        <v>EWU</v>
      </c>
      <c r="B29" t="str">
        <v>Equities</v>
      </c>
      <c r="C29" t="str">
        <v>GBP</v>
      </c>
      <c r="D29">
        <v>0</v>
      </c>
      <c r="E29">
        <v>0</v>
      </c>
      <c r="F29" t="str">
        <v>FTSE 100</v>
      </c>
      <c r="G29" t="str">
        <v>yfinance</v>
      </c>
      <c r="H29" t="str">
        <v>EWU</v>
      </c>
      <c r="I29" t="str">
        <v>lognormal</v>
      </c>
      <c r="J29">
        <v>1E-4</v>
      </c>
    </row>
    <row r="30" spans="1:10" x14ac:dyDescent="0.25">
      <c r="A30" t="str">
        <v>DAX</v>
      </c>
      <c r="B30" t="str">
        <v>Equities</v>
      </c>
      <c r="C30" t="str">
        <v>EUR</v>
      </c>
      <c r="D30">
        <v>0</v>
      </c>
      <c r="E30">
        <v>0</v>
      </c>
      <c r="F30" t="str">
        <v>DAX (Germany)</v>
      </c>
      <c r="G30" t="str">
        <v>yfinance</v>
      </c>
      <c r="H30" t="str">
        <v>DAX</v>
      </c>
      <c r="I30" t="str">
        <v>lognormal</v>
      </c>
      <c r="J30">
        <v>1E-4</v>
      </c>
    </row>
    <row r="31" spans="1:10" x14ac:dyDescent="0.25">
      <c r="A31" t="str">
        <v>EWC</v>
      </c>
      <c r="B31" t="str">
        <v>Equities</v>
      </c>
      <c r="C31" t="str">
        <v>CAD</v>
      </c>
      <c r="D31">
        <v>0</v>
      </c>
      <c r="E31">
        <v>0</v>
      </c>
      <c r="F31" t="str">
        <v>MSCI Canada</v>
      </c>
      <c r="G31" t="str">
        <v>yfinance</v>
      </c>
      <c r="H31" t="str">
        <v>EWC</v>
      </c>
      <c r="I31" t="str">
        <v>lognormal</v>
      </c>
      <c r="J31">
        <v>1E-4</v>
      </c>
    </row>
    <row r="32" spans="1:10" x14ac:dyDescent="0.25">
      <c r="A32" t="str">
        <v>EWI</v>
      </c>
      <c r="B32" t="str">
        <v>Equities</v>
      </c>
      <c r="C32" t="str">
        <v>EUR</v>
      </c>
      <c r="D32">
        <v>0</v>
      </c>
      <c r="E32">
        <v>0</v>
      </c>
      <c r="F32" t="str">
        <v>MSCI Italy</v>
      </c>
      <c r="G32" t="str">
        <v>yfinance</v>
      </c>
      <c r="H32" t="str">
        <v>EWI</v>
      </c>
      <c r="I32" t="str">
        <v>lognormal</v>
      </c>
      <c r="J32">
        <v>1E-4</v>
      </c>
    </row>
    <row r="33" spans="1:10" x14ac:dyDescent="0.25">
      <c r="A33" t="str">
        <v>^N225</v>
      </c>
      <c r="B33" t="str">
        <v>Equities</v>
      </c>
      <c r="C33" t="str">
        <v>JPY</v>
      </c>
      <c r="D33">
        <v>0</v>
      </c>
      <c r="E33">
        <v>0</v>
      </c>
      <c r="F33" t="str">
        <v>Nikkei 225</v>
      </c>
      <c r="G33" t="str">
        <v>yfinance</v>
      </c>
      <c r="H33" t="str">
        <v>^N225</v>
      </c>
      <c r="I33" t="str">
        <v>lognormal</v>
      </c>
      <c r="J33">
        <v>1E-4</v>
      </c>
    </row>
    <row r="34" spans="1:10" x14ac:dyDescent="0.25">
      <c r="A34" t="str">
        <v>FXI</v>
      </c>
      <c r="B34" t="str">
        <v>Equities</v>
      </c>
      <c r="C34" t="str">
        <v>CNH</v>
      </c>
      <c r="D34">
        <v>0</v>
      </c>
      <c r="E34">
        <v>0</v>
      </c>
      <c r="F34" t="str">
        <v>China Large-Cap</v>
      </c>
      <c r="G34" t="str">
        <v>yfinance</v>
      </c>
      <c r="H34" t="str">
        <v>FXI</v>
      </c>
      <c r="I34" t="str">
        <v>lognormal</v>
      </c>
      <c r="J34">
        <v>1E-4</v>
      </c>
    </row>
    <row r="35" spans="1:10" x14ac:dyDescent="0.25">
      <c r="A35" t="str">
        <v>ASHR</v>
      </c>
      <c r="B35" t="str">
        <v>Equities</v>
      </c>
      <c r="C35" t="str">
        <v>CNH</v>
      </c>
      <c r="D35">
        <v>0</v>
      </c>
      <c r="E35">
        <v>0</v>
      </c>
      <c r="F35" t="str">
        <v>CSI 300 (China)</v>
      </c>
      <c r="G35" t="str">
        <v>yfinance</v>
      </c>
      <c r="H35" t="str">
        <v>ASHR</v>
      </c>
      <c r="I35" t="str">
        <v>lognormal</v>
      </c>
      <c r="J35">
        <v>1E-4</v>
      </c>
    </row>
    <row r="36" spans="1:10" x14ac:dyDescent="0.25">
      <c r="A36" t="str">
        <v>KWEB</v>
      </c>
      <c r="B36" t="str">
        <v>Equities</v>
      </c>
      <c r="C36" t="str">
        <v>CNH</v>
      </c>
      <c r="D36">
        <v>0</v>
      </c>
      <c r="E36">
        <v>0</v>
      </c>
      <c r="F36" t="str">
        <v>CSI China Internet</v>
      </c>
      <c r="G36" t="str">
        <v>yfinance</v>
      </c>
      <c r="H36" t="str">
        <v>KWEB</v>
      </c>
      <c r="I36" t="str">
        <v>lognormal</v>
      </c>
      <c r="J36">
        <v>1E-4</v>
      </c>
    </row>
    <row r="37" spans="1:10" x14ac:dyDescent="0.25">
      <c r="A37" t="str">
        <v>EEM</v>
      </c>
      <c r="B37" t="str">
        <v>Equities</v>
      </c>
      <c r="C37" t="str">
        <v>EM</v>
      </c>
      <c r="D37">
        <v>0</v>
      </c>
      <c r="E37">
        <v>0</v>
      </c>
      <c r="F37" t="str">
        <v>MSCI EM</v>
      </c>
      <c r="G37" t="str">
        <v>yfinance</v>
      </c>
      <c r="H37" t="str">
        <v>EEM</v>
      </c>
      <c r="I37" t="str">
        <v>lognormal</v>
      </c>
      <c r="J37">
        <v>1E-4</v>
      </c>
    </row>
    <row r="38" spans="1:10" x14ac:dyDescent="0.25">
      <c r="A38" t="str">
        <v>LQD</v>
      </c>
      <c r="B38" t="str">
        <v>Credit</v>
      </c>
      <c r="C38" t="str">
        <v>USD</v>
      </c>
      <c r="D38">
        <v>0</v>
      </c>
      <c r="E38">
        <v>0</v>
      </c>
      <c r="F38" t="str">
        <v>iShares iBoxx $ Investment Grade Corporate Bond ETF</v>
      </c>
      <c r="G38" t="str">
        <v>yfinance</v>
      </c>
      <c r="H38" t="str">
        <v>LQD</v>
      </c>
      <c r="I38" t="str">
        <v>lognormal</v>
      </c>
      <c r="J38">
        <v>1E-4</v>
      </c>
    </row>
    <row r="39" spans="1:10" x14ac:dyDescent="0.25">
      <c r="A39" t="str">
        <v>BSV</v>
      </c>
      <c r="B39" t="str">
        <v>Credit</v>
      </c>
      <c r="C39" t="str">
        <v>USD</v>
      </c>
      <c r="D39">
        <v>0</v>
      </c>
      <c r="E39">
        <v>0</v>
      </c>
      <c r="F39" t="str">
        <v>Vanguard Short-Term Bond Index Fund ETF</v>
      </c>
      <c r="G39" t="str">
        <v>yfinance</v>
      </c>
      <c r="H39" t="str">
        <v>BSV</v>
      </c>
      <c r="I39" t="str">
        <v>lognormal</v>
      </c>
      <c r="J39">
        <v>1E-4</v>
      </c>
    </row>
    <row r="40" spans="1:10" x14ac:dyDescent="0.25">
      <c r="A40" t="str">
        <v>HYG</v>
      </c>
      <c r="B40" t="str">
        <v>Credit</v>
      </c>
      <c r="C40" t="str">
        <v>USD</v>
      </c>
      <c r="D40">
        <v>0</v>
      </c>
      <c r="E40">
        <v>0</v>
      </c>
      <c r="F40" t="str">
        <v>iShares iBoxx $ High Yield Corporate Bond ETF</v>
      </c>
      <c r="G40" t="str">
        <v>yfinance</v>
      </c>
      <c r="H40" t="str">
        <v>HYG</v>
      </c>
      <c r="I40" t="str">
        <v>lognormal</v>
      </c>
      <c r="J40">
        <v>1E-4</v>
      </c>
    </row>
    <row r="41" spans="1:10" x14ac:dyDescent="0.25">
      <c r="A41" t="str">
        <v>LQDH</v>
      </c>
      <c r="B41" t="str">
        <v>Credit</v>
      </c>
      <c r="C41" t="str">
        <v>USD</v>
      </c>
      <c r="D41">
        <v>1</v>
      </c>
      <c r="E41">
        <v>0</v>
      </c>
      <c r="F41" t="str">
        <v>Hedged LQD</v>
      </c>
      <c r="G41" t="str">
        <v>yfinance</v>
      </c>
      <c r="H41" t="str">
        <v>LQDH</v>
      </c>
      <c r="I41" t="str">
        <v>lognormal</v>
      </c>
      <c r="J41">
        <v>1E-4</v>
      </c>
    </row>
    <row r="42" spans="1:10" x14ac:dyDescent="0.25">
      <c r="A42" t="str">
        <v>HYGH</v>
      </c>
      <c r="B42" t="str">
        <v>Credit</v>
      </c>
      <c r="C42" t="str">
        <v>USD</v>
      </c>
      <c r="D42">
        <v>0</v>
      </c>
      <c r="E42">
        <v>0</v>
      </c>
      <c r="F42" t="str">
        <v>Hedged HYG</v>
      </c>
      <c r="G42" t="str">
        <v>yfinance</v>
      </c>
      <c r="H42" t="str">
        <v>HYGH</v>
      </c>
      <c r="I42" t="str">
        <v>lognormal</v>
      </c>
      <c r="J42">
        <v>1E-4</v>
      </c>
    </row>
    <row r="43" spans="1:10" x14ac:dyDescent="0.25">
      <c r="A43" t="str">
        <v>BKLN</v>
      </c>
      <c r="B43" t="str">
        <v>Credit</v>
      </c>
      <c r="C43" t="str">
        <v>USD</v>
      </c>
      <c r="D43">
        <v>0</v>
      </c>
      <c r="E43">
        <v>0</v>
      </c>
      <c r="F43" t="str">
        <v>Bank Loans</v>
      </c>
      <c r="G43" t="str">
        <v>yfinance</v>
      </c>
      <c r="H43" t="str">
        <v>BKLN</v>
      </c>
      <c r="I43" t="str">
        <v>lognormal</v>
      </c>
      <c r="J43">
        <v>1E-4</v>
      </c>
    </row>
    <row r="44" spans="1:10" x14ac:dyDescent="0.25">
      <c r="A44" t="str">
        <v>AGG</v>
      </c>
      <c r="B44" t="str">
        <v>Credit</v>
      </c>
      <c r="C44" t="str">
        <v>USD</v>
      </c>
      <c r="D44">
        <v>0</v>
      </c>
      <c r="E44">
        <v>0</v>
      </c>
      <c r="F44" t="str">
        <v>US Agg</v>
      </c>
      <c r="G44" t="str">
        <v>yfinance</v>
      </c>
      <c r="H44" t="str">
        <v>AGG</v>
      </c>
      <c r="I44" t="str">
        <v>lognormal</v>
      </c>
      <c r="J44">
        <v>1E-4</v>
      </c>
    </row>
    <row r="45" spans="1:10" x14ac:dyDescent="0.25">
      <c r="A45" t="str">
        <v>^TNX</v>
      </c>
      <c r="B45" t="str">
        <v>Rates</v>
      </c>
      <c r="C45" t="str">
        <v>USD</v>
      </c>
      <c r="D45">
        <v>0</v>
      </c>
      <c r="E45">
        <v>0</v>
      </c>
      <c r="F45" t="str">
        <v>CBOE Interest Rate 10 Year</v>
      </c>
      <c r="G45" t="str">
        <v>yfinance</v>
      </c>
      <c r="H45" t="str">
        <v>^TNX</v>
      </c>
      <c r="I45" t="str">
        <v>normal</v>
      </c>
      <c r="J45">
        <v>-0.01</v>
      </c>
    </row>
    <row r="46" spans="1:10" x14ac:dyDescent="0.25">
      <c r="A46" t="str">
        <v>SHY</v>
      </c>
      <c r="B46" t="str">
        <v>Rates</v>
      </c>
      <c r="C46" t="str">
        <v>USD</v>
      </c>
      <c r="D46">
        <v>0</v>
      </c>
      <c r="E46">
        <v>0</v>
      </c>
      <c r="F46" t="str">
        <v>1-3 Year Treasury</v>
      </c>
      <c r="G46" t="str">
        <v>yfinance</v>
      </c>
      <c r="H46" t="str">
        <v>SHY</v>
      </c>
      <c r="I46" t="str">
        <v>lognormal</v>
      </c>
      <c r="J46">
        <v>1E-4</v>
      </c>
    </row>
    <row r="47" spans="1:10" x14ac:dyDescent="0.25">
      <c r="A47" t="str">
        <v>IEI</v>
      </c>
      <c r="B47" t="str">
        <v>Rates</v>
      </c>
      <c r="C47" t="str">
        <v>USD</v>
      </c>
      <c r="D47">
        <v>0</v>
      </c>
      <c r="E47">
        <v>0</v>
      </c>
      <c r="F47" t="str">
        <v>3-7 Year Treasury</v>
      </c>
      <c r="G47" t="str">
        <v>yfinance</v>
      </c>
      <c r="H47" t="str">
        <v>IEI</v>
      </c>
      <c r="I47" t="str">
        <v>lognormal</v>
      </c>
      <c r="J47">
        <v>1E-4</v>
      </c>
    </row>
    <row r="48" spans="1:10" x14ac:dyDescent="0.25">
      <c r="A48" t="str">
        <v>IEF</v>
      </c>
      <c r="B48" t="str">
        <v>Rates</v>
      </c>
      <c r="C48" t="str">
        <v>USD</v>
      </c>
      <c r="D48">
        <v>1</v>
      </c>
      <c r="E48">
        <v>0</v>
      </c>
      <c r="F48" t="str">
        <v>7-10 Year Treasury</v>
      </c>
      <c r="G48" t="str">
        <v>yfinance</v>
      </c>
      <c r="H48" t="str">
        <v>IEF</v>
      </c>
      <c r="I48" t="str">
        <v>lognormal</v>
      </c>
      <c r="J48">
        <v>1E-4</v>
      </c>
    </row>
    <row r="49" spans="1:10" x14ac:dyDescent="0.25">
      <c r="A49" t="str">
        <v>TLT</v>
      </c>
      <c r="B49" t="str">
        <v>Rates</v>
      </c>
      <c r="C49" t="str">
        <v>USD</v>
      </c>
      <c r="D49">
        <v>0</v>
      </c>
      <c r="E49">
        <v>0</v>
      </c>
      <c r="F49" t="str">
        <v>20+ Year Treasury</v>
      </c>
      <c r="G49" t="str">
        <v>yfinance</v>
      </c>
      <c r="H49" t="str">
        <v>TLT</v>
      </c>
      <c r="I49" t="str">
        <v>lognormal</v>
      </c>
      <c r="J49">
        <v>1E-4</v>
      </c>
    </row>
    <row r="50" spans="1:10" x14ac:dyDescent="0.25">
      <c r="A50" t="str">
        <v>TIP</v>
      </c>
      <c r="B50" t="str">
        <v>Rates</v>
      </c>
      <c r="C50" t="str">
        <v>USD</v>
      </c>
      <c r="D50">
        <v>0</v>
      </c>
      <c r="E50">
        <v>0</v>
      </c>
      <c r="F50" t="str">
        <v>iShares TIPS Bond ETF</v>
      </c>
      <c r="G50" t="str">
        <v>yfinance</v>
      </c>
      <c r="H50" t="str">
        <v>TIP</v>
      </c>
      <c r="I50" t="str">
        <v>lognormal</v>
      </c>
      <c r="J50">
        <v>1E-4</v>
      </c>
    </row>
    <row r="51" spans="1:10" x14ac:dyDescent="0.25">
      <c r="A51" t="str">
        <v>VTIP</v>
      </c>
      <c r="B51" t="str">
        <v>Rates</v>
      </c>
      <c r="C51" t="str">
        <v>USD</v>
      </c>
      <c r="D51">
        <v>0</v>
      </c>
      <c r="E51">
        <v>0</v>
      </c>
      <c r="F51" t="str">
        <v>Short-Term Inflation-Protected Securities ETF</v>
      </c>
      <c r="G51" t="str">
        <v>yfinance</v>
      </c>
      <c r="H51" t="str">
        <v>VTIP</v>
      </c>
      <c r="I51" t="str">
        <v>lognormal</v>
      </c>
      <c r="J51">
        <v>1E-4</v>
      </c>
    </row>
    <row r="52" spans="1:10" x14ac:dyDescent="0.25">
      <c r="A52" t="str">
        <v>AGNC</v>
      </c>
      <c r="B52" t="str">
        <v>Rates</v>
      </c>
      <c r="C52" t="str">
        <v>USD</v>
      </c>
      <c r="D52">
        <v>0</v>
      </c>
      <c r="E52">
        <v>0</v>
      </c>
      <c r="F52" t="str">
        <v>AGNC Investment Corp.</v>
      </c>
      <c r="G52" t="str">
        <v>yfinance</v>
      </c>
      <c r="H52" t="str">
        <v>AGNC</v>
      </c>
      <c r="I52" t="str">
        <v>lognormal</v>
      </c>
      <c r="J52">
        <v>1E-4</v>
      </c>
    </row>
    <row r="53" spans="1:10" x14ac:dyDescent="0.25">
      <c r="A53" t="str">
        <v>VMBS</v>
      </c>
      <c r="B53" t="str">
        <v>Rates</v>
      </c>
      <c r="C53" t="str">
        <v>USD</v>
      </c>
      <c r="D53">
        <v>0</v>
      </c>
      <c r="E53">
        <v>0</v>
      </c>
      <c r="F53" t="str">
        <v>Mortgage-Backed Securities ETF</v>
      </c>
      <c r="G53" t="str">
        <v>yfinance</v>
      </c>
      <c r="H53" t="str">
        <v>VMBS</v>
      </c>
      <c r="I53" t="str">
        <v>lognormal</v>
      </c>
      <c r="J53">
        <v>1E-4</v>
      </c>
    </row>
    <row r="54" spans="1:10" x14ac:dyDescent="0.25">
      <c r="A54" t="str">
        <v>CMBS</v>
      </c>
      <c r="B54" t="str">
        <v>Rates</v>
      </c>
      <c r="C54" t="str">
        <v>USD</v>
      </c>
      <c r="D54">
        <v>0</v>
      </c>
      <c r="E54">
        <v>0</v>
      </c>
      <c r="F54" t="str">
        <v>iShares CMBS ETF</v>
      </c>
      <c r="G54" t="str">
        <v>yfinance</v>
      </c>
      <c r="H54" t="str">
        <v>CMBS</v>
      </c>
      <c r="I54" t="str">
        <v>lognormal</v>
      </c>
      <c r="J54">
        <v>1E-4</v>
      </c>
    </row>
    <row r="55" spans="1:10" x14ac:dyDescent="0.25">
      <c r="A55" t="str">
        <v>EMB</v>
      </c>
      <c r="B55" t="str">
        <v>Rates</v>
      </c>
      <c r="C55" t="str">
        <v>EM</v>
      </c>
      <c r="D55">
        <v>0</v>
      </c>
      <c r="E55">
        <v>0</v>
      </c>
      <c r="F55" t="str">
        <v>iShares J.P. Morgan USD Emerging Markets Bond ETF</v>
      </c>
      <c r="G55" t="str">
        <v>yfinance</v>
      </c>
      <c r="H55" t="str">
        <v>EMB</v>
      </c>
      <c r="I55" t="str">
        <v>lognormal</v>
      </c>
      <c r="J55">
        <v>1E-4</v>
      </c>
    </row>
    <row r="56" spans="1:10" x14ac:dyDescent="0.25">
      <c r="A56" t="str">
        <v>GLD</v>
      </c>
      <c r="B56" t="str">
        <v>Commodities</v>
      </c>
      <c r="C56" t="str">
        <v>USD</v>
      </c>
      <c r="D56">
        <v>0</v>
      </c>
      <c r="E56">
        <v>0</v>
      </c>
      <c r="F56" t="str">
        <v>SPDR Gold Shares</v>
      </c>
      <c r="G56" t="str">
        <v>yfinance</v>
      </c>
      <c r="H56" t="str">
        <v>GLD</v>
      </c>
      <c r="I56" t="str">
        <v>lognormal</v>
      </c>
      <c r="J56">
        <v>1E-4</v>
      </c>
    </row>
    <row r="57" spans="1:10" x14ac:dyDescent="0.25">
      <c r="A57" t="str">
        <v>SLV</v>
      </c>
      <c r="B57" t="str">
        <v>Commodities</v>
      </c>
      <c r="C57" t="str">
        <v>USD</v>
      </c>
      <c r="D57">
        <v>0</v>
      </c>
      <c r="E57">
        <v>0</v>
      </c>
      <c r="F57" t="str">
        <v>iShares Silver Trust</v>
      </c>
      <c r="G57" t="str">
        <v>yfinance</v>
      </c>
      <c r="H57" t="str">
        <v>SLV</v>
      </c>
      <c r="I57" t="str">
        <v>lognormal</v>
      </c>
      <c r="J57">
        <v>1E-4</v>
      </c>
    </row>
    <row r="58" spans="1:10" x14ac:dyDescent="0.25">
      <c r="A58" t="str">
        <v>USO</v>
      </c>
      <c r="B58" t="str">
        <v>Commodities</v>
      </c>
      <c r="C58" t="str">
        <v>USD</v>
      </c>
      <c r="D58">
        <v>0</v>
      </c>
      <c r="E58">
        <v>0</v>
      </c>
      <c r="F58" t="str">
        <v>United States Oil Fund</v>
      </c>
      <c r="G58" t="str">
        <v>yfinance</v>
      </c>
      <c r="H58" t="str">
        <v>USO</v>
      </c>
      <c r="I58" t="str">
        <v>lognormal</v>
      </c>
      <c r="J58">
        <v>1E-4</v>
      </c>
    </row>
    <row r="59" spans="1:10" x14ac:dyDescent="0.25">
      <c r="A59" t="str">
        <v>UUP</v>
      </c>
      <c r="B59" t="str">
        <v>Currencies</v>
      </c>
      <c r="C59" t="str">
        <v>USD</v>
      </c>
      <c r="D59">
        <v>0</v>
      </c>
      <c r="E59">
        <v>0</v>
      </c>
      <c r="F59" t="str">
        <v>Invesco DB US Dollar Index Bullish Fund</v>
      </c>
      <c r="G59" t="str">
        <v>yfinance</v>
      </c>
      <c r="H59" t="str">
        <v>UUP</v>
      </c>
      <c r="I59" t="str">
        <v>lognormal</v>
      </c>
      <c r="J59">
        <v>1E-4</v>
      </c>
    </row>
    <row r="60" spans="1:10" x14ac:dyDescent="0.25">
      <c r="A60" t="str">
        <v>DX-Y.NYB</v>
      </c>
      <c r="B60" t="str">
        <v>Currencies</v>
      </c>
      <c r="C60" t="str">
        <v>USD</v>
      </c>
      <c r="D60">
        <v>0</v>
      </c>
      <c r="E60">
        <v>0</v>
      </c>
      <c r="F60" t="str">
        <v>U.S. Dollar Index</v>
      </c>
      <c r="G60" t="str">
        <v>yfinance</v>
      </c>
      <c r="H60" t="str">
        <v>DX-Y.NYB</v>
      </c>
      <c r="I60" t="str">
        <v>lognormal</v>
      </c>
      <c r="J60">
        <v>1E-4</v>
      </c>
    </row>
    <row r="61" spans="1:10" x14ac:dyDescent="0.25">
      <c r="A61" t="str">
        <v>FXE</v>
      </c>
      <c r="B61" t="str">
        <v>Currencies</v>
      </c>
      <c r="C61" t="str">
        <v>EUR</v>
      </c>
      <c r="D61">
        <v>0</v>
      </c>
      <c r="E61">
        <v>0</v>
      </c>
      <c r="F61" t="str">
        <v>Invesco CurrencyShares Euro Trust</v>
      </c>
      <c r="G61" t="str">
        <v>yfinance</v>
      </c>
      <c r="H61" t="str">
        <v>FXE</v>
      </c>
      <c r="I61" t="str">
        <v>lognormal</v>
      </c>
      <c r="J61">
        <v>1E-4</v>
      </c>
    </row>
    <row r="62" spans="1:10" x14ac:dyDescent="0.25">
      <c r="A62" t="str">
        <v>FXF</v>
      </c>
      <c r="B62" t="str">
        <v>Currencies</v>
      </c>
      <c r="C62" t="str">
        <v>EUR</v>
      </c>
      <c r="D62">
        <v>0</v>
      </c>
      <c r="E62">
        <v>0</v>
      </c>
      <c r="F62" t="str">
        <v>Invesco CurrencyShares Swiss Franc Trust</v>
      </c>
      <c r="G62" t="str">
        <v>yfinance</v>
      </c>
      <c r="H62" t="str">
        <v>FXF</v>
      </c>
      <c r="I62" t="str">
        <v>lognormal</v>
      </c>
      <c r="J62">
        <v>1E-4</v>
      </c>
    </row>
    <row r="63" spans="1:10" x14ac:dyDescent="0.25">
      <c r="A63" t="str">
        <v>FXA</v>
      </c>
      <c r="B63" t="str">
        <v>Currencies</v>
      </c>
      <c r="C63" t="str">
        <v>Commod</v>
      </c>
      <c r="D63">
        <v>0</v>
      </c>
      <c r="E63">
        <v>0</v>
      </c>
      <c r="F63" t="str">
        <v>Invesco CurrencyShares Australian Dollar Trust</v>
      </c>
      <c r="G63" t="str">
        <v>yfinance</v>
      </c>
      <c r="H63" t="str">
        <v>FXA</v>
      </c>
      <c r="I63" t="str">
        <v>lognormal</v>
      </c>
      <c r="J63">
        <v>1E-4</v>
      </c>
    </row>
    <row r="64" spans="1:10" x14ac:dyDescent="0.25">
      <c r="A64" t="str">
        <v>FXB</v>
      </c>
      <c r="B64" t="str">
        <v>Currencies</v>
      </c>
      <c r="C64" t="str">
        <v>GBP</v>
      </c>
      <c r="D64">
        <v>0</v>
      </c>
      <c r="E64">
        <v>0</v>
      </c>
      <c r="F64" t="str">
        <v>Invesco CurrencyShares British Pound Sterling Trust</v>
      </c>
      <c r="G64" t="str">
        <v>yfinance</v>
      </c>
      <c r="H64" t="str">
        <v>FXB</v>
      </c>
      <c r="I64" t="str">
        <v>lognormal</v>
      </c>
      <c r="J64">
        <v>1E-4</v>
      </c>
    </row>
    <row r="65" spans="1:10" x14ac:dyDescent="0.25">
      <c r="A65" t="str">
        <v>FXC</v>
      </c>
      <c r="B65" t="str">
        <v>Currencies</v>
      </c>
      <c r="C65" t="str">
        <v>USD</v>
      </c>
      <c r="D65">
        <v>0</v>
      </c>
      <c r="E65">
        <v>0</v>
      </c>
      <c r="F65" t="str">
        <v>Invesco CurrencyShares Canadian Dollar Trust</v>
      </c>
      <c r="G65" t="str">
        <v>yfinance</v>
      </c>
      <c r="H65" t="str">
        <v>FXC</v>
      </c>
      <c r="I65" t="str">
        <v>lognormal</v>
      </c>
      <c r="J65">
        <v>1E-4</v>
      </c>
    </row>
    <row r="66" spans="1:10" x14ac:dyDescent="0.25">
      <c r="A66" t="str">
        <v>FXY</v>
      </c>
      <c r="B66" t="str">
        <v>Currencies</v>
      </c>
      <c r="C66" t="str">
        <v>JPY</v>
      </c>
      <c r="D66">
        <v>0</v>
      </c>
      <c r="E66">
        <v>0</v>
      </c>
      <c r="F66" t="str">
        <v>Invesco CurrencyShares Japanese Yen Trust</v>
      </c>
      <c r="G66" t="str">
        <v>yfinance</v>
      </c>
      <c r="H66" t="str">
        <v>FXY</v>
      </c>
      <c r="I66" t="str">
        <v>lognormal</v>
      </c>
      <c r="J66">
        <v>1E-4</v>
      </c>
    </row>
    <row r="67" spans="1:10" x14ac:dyDescent="0.25">
      <c r="A67" t="str">
        <v>^VIX</v>
      </c>
      <c r="B67" t="str">
        <v>Vol</v>
      </c>
      <c r="C67" t="str">
        <v>USD</v>
      </c>
      <c r="D67">
        <v>0</v>
      </c>
      <c r="E67">
        <v>0</v>
      </c>
      <c r="F67" t="str">
        <v>CBOE Volatility Index</v>
      </c>
      <c r="G67" t="str">
        <v>yfinance</v>
      </c>
      <c r="H67" t="str">
        <v>^VIX</v>
      </c>
      <c r="I67" t="str">
        <v>normal</v>
      </c>
      <c r="J67">
        <v>-0.01</v>
      </c>
    </row>
    <row r="68" spans="1:10" x14ac:dyDescent="0.25">
      <c r="A68" t="str">
        <v>VXX</v>
      </c>
      <c r="B68" t="str">
        <v>Vol</v>
      </c>
      <c r="C68" t="str">
        <v>USD</v>
      </c>
      <c r="D68">
        <v>0</v>
      </c>
      <c r="E68">
        <v>0</v>
      </c>
      <c r="F68" t="str">
        <v>VIX Short-Term Futures ETN</v>
      </c>
      <c r="G68" t="str">
        <v>yfinance</v>
      </c>
      <c r="H68" t="str">
        <v>VXX</v>
      </c>
      <c r="I68" t="str">
        <v>normal</v>
      </c>
      <c r="J68">
        <v>-0.01</v>
      </c>
    </row>
    <row r="69" spans="1:10" x14ac:dyDescent="0.25">
      <c r="A69" t="str">
        <v>^VIX3M</v>
      </c>
      <c r="B69" t="str">
        <v>Vol</v>
      </c>
      <c r="C69" t="str">
        <v>USD</v>
      </c>
      <c r="D69">
        <v>0</v>
      </c>
      <c r="E69">
        <v>0</v>
      </c>
      <c r="F69" t="str">
        <v>CBOE S&amp;P 500 3-Month Volatility</v>
      </c>
      <c r="G69" t="str">
        <v>yfinance</v>
      </c>
      <c r="H69" t="str">
        <v>^VIX3M</v>
      </c>
      <c r="I69" t="str">
        <v>normal</v>
      </c>
      <c r="J69">
        <v>-0.01</v>
      </c>
    </row>
    <row r="70" spans="1:10" x14ac:dyDescent="0.25">
      <c r="A70" t="str">
        <v>^MOVE</v>
      </c>
      <c r="B70" t="str">
        <v>Vol</v>
      </c>
      <c r="C70" t="str">
        <v>USD</v>
      </c>
      <c r="D70">
        <v>0</v>
      </c>
      <c r="E70">
        <v>0</v>
      </c>
      <c r="F70" t="str">
        <v>ICE BofAML MOVE Index</v>
      </c>
      <c r="G70" t="str">
        <v>yfinance</v>
      </c>
      <c r="H70" t="str">
        <v>^MOVE</v>
      </c>
      <c r="I70" t="str">
        <v>normal</v>
      </c>
      <c r="J70">
        <v>-0.01</v>
      </c>
    </row>
    <row r="71" spans="1:10" x14ac:dyDescent="0.25">
      <c r="A71" t="str">
        <v>^OVX</v>
      </c>
      <c r="B71" t="str">
        <v>Vol</v>
      </c>
      <c r="C71" t="str">
        <v>USD</v>
      </c>
      <c r="D71">
        <v>0</v>
      </c>
      <c r="E71">
        <v>0</v>
      </c>
      <c r="F71" t="str">
        <v>CBOE Crude Oil Volatility Index</v>
      </c>
      <c r="G71" t="str">
        <v>yfinance</v>
      </c>
      <c r="H71" t="str">
        <v>^OVX</v>
      </c>
      <c r="I71" t="str">
        <v>normal</v>
      </c>
      <c r="J71">
        <v>-0.01</v>
      </c>
    </row>
    <row r="72" spans="1:10" x14ac:dyDescent="0.25">
      <c r="A72" t="str">
        <v>^GVZ</v>
      </c>
      <c r="B72" t="str">
        <v>Vol</v>
      </c>
      <c r="C72" t="str">
        <v>USD</v>
      </c>
      <c r="D72">
        <v>0</v>
      </c>
      <c r="E72">
        <v>0</v>
      </c>
      <c r="F72" t="str">
        <v>CBOE Gold Volatility Index</v>
      </c>
      <c r="G72" t="str">
        <v>yfinance</v>
      </c>
      <c r="H72" t="str">
        <v>^GVZ</v>
      </c>
      <c r="I72" t="str">
        <v>normal</v>
      </c>
      <c r="J72">
        <v>-0.01</v>
      </c>
    </row>
    <row r="73" spans="1:10" x14ac:dyDescent="0.25">
      <c r="A73" t="str">
        <v>MWTIX</v>
      </c>
      <c r="B73" t="str">
        <v>Portfolio</v>
      </c>
      <c r="C73" t="str">
        <v>USD</v>
      </c>
      <c r="D73">
        <v>1</v>
      </c>
      <c r="E73">
        <v>0</v>
      </c>
      <c r="F73" t="str">
        <v>TCW MetWest Total Return Bd I</v>
      </c>
      <c r="G73" t="str">
        <v>yfinance</v>
      </c>
      <c r="H73" t="str">
        <v>MWTIX</v>
      </c>
      <c r="I73" t="str">
        <v>lognormal</v>
      </c>
      <c r="J73">
        <v>1E-4</v>
      </c>
    </row>
    <row r="74" spans="1:10" x14ac:dyDescent="0.25">
      <c r="A74" t="str">
        <v>FCNTX</v>
      </c>
      <c r="B74" t="str">
        <v>Portfolio</v>
      </c>
      <c r="C74" t="str">
        <v>USD</v>
      </c>
      <c r="D74">
        <v>0</v>
      </c>
      <c r="E74">
        <v>0</v>
      </c>
      <c r="F74" t="str">
        <v>Fidelity Contrafund</v>
      </c>
      <c r="G74" t="str">
        <v>yfinance</v>
      </c>
      <c r="H74" t="str">
        <v>FCNTX</v>
      </c>
      <c r="I74" t="str">
        <v>lognormal</v>
      </c>
      <c r="J74">
        <v>1E-4</v>
      </c>
    </row>
    <row r="75" spans="1:10" x14ac:dyDescent="0.25">
      <c r="A75" t="str">
        <v>PRIVATES</v>
      </c>
      <c r="B75" t="str">
        <v>Theme</v>
      </c>
      <c r="C75" t="str">
        <v>USD</v>
      </c>
      <c r="D75">
        <v>1</v>
      </c>
      <c r="E75">
        <v>1</v>
      </c>
      <c r="F75" t="str">
        <v>PSP 0.5, XLF -0.5, BKLN 0.5, LQDH -0.5</v>
      </c>
      <c r="G75" t="str">
        <v>composite</v>
      </c>
      <c r="H75" t="str">
        <v>PRIVATES</v>
      </c>
      <c r="I75" t="str">
        <v>lognormal</v>
      </c>
      <c r="J75">
        <v>1E-4</v>
      </c>
    </row>
    <row r="76" spans="1:10" x14ac:dyDescent="0.25">
      <c r="A76" t="str">
        <v>FED</v>
      </c>
      <c r="B76" t="str">
        <v>Theme</v>
      </c>
      <c r="C76" t="str">
        <v>USD</v>
      </c>
      <c r="D76">
        <v>1</v>
      </c>
      <c r="E76">
        <v>1</v>
      </c>
      <c r="F76" t="str">
        <v>SHY 1, BSV 1</v>
      </c>
      <c r="G76" t="str">
        <v>composite</v>
      </c>
      <c r="H76" t="str">
        <v>FED</v>
      </c>
      <c r="I76" t="str">
        <v>lognormal</v>
      </c>
      <c r="J76">
        <v>1E-4</v>
      </c>
    </row>
    <row r="77" spans="1:10" x14ac:dyDescent="0.25">
      <c r="A77" t="str">
        <v>AI</v>
      </c>
      <c r="B77" t="str">
        <v>Theme</v>
      </c>
      <c r="C77" t="str">
        <v>USD</v>
      </c>
      <c r="D77">
        <v>1</v>
      </c>
      <c r="E77">
        <v>1</v>
      </c>
      <c r="F77" t="str">
        <v>AIQ 1, QQQ 0.25, IWM -0.25</v>
      </c>
      <c r="G77" t="str">
        <v>composite</v>
      </c>
      <c r="H77" t="str">
        <v>AI</v>
      </c>
      <c r="I77" t="str">
        <v>lognormal</v>
      </c>
      <c r="J77">
        <v>1E-4</v>
      </c>
    </row>
    <row r="78" spans="1:10" x14ac:dyDescent="0.25">
      <c r="A78" t="str">
        <v>GEOPOLITICS</v>
      </c>
      <c r="B78" t="str">
        <v>Theme</v>
      </c>
      <c r="C78" t="str">
        <v>USD</v>
      </c>
      <c r="D78">
        <v>1</v>
      </c>
      <c r="E78">
        <v>1</v>
      </c>
      <c r="F78" t="str">
        <v>GLD 0.65, USO 0.3, ^VIX3M -0.15, FEZ -0.05</v>
      </c>
      <c r="G78" t="str">
        <v>composite</v>
      </c>
      <c r="H78" t="str">
        <v>GEOPOLITICS</v>
      </c>
      <c r="I78" t="str">
        <v>lognormal</v>
      </c>
      <c r="J78">
        <v>1E-4</v>
      </c>
    </row>
    <row r="79" spans="1:10" x14ac:dyDescent="0.25">
      <c r="A79" t="str">
        <v>TRADEWAR</v>
      </c>
      <c r="B79" t="str">
        <v>Theme</v>
      </c>
      <c r="C79" t="str">
        <v>USD</v>
      </c>
      <c r="D79">
        <v>1</v>
      </c>
      <c r="E79">
        <v>1</v>
      </c>
      <c r="F79" t="str">
        <v>GLD 0.21, FXY 0.30, FXF 0.37, ^VIX3M -0.04, XLP 0.15, XLY -0.15</v>
      </c>
      <c r="G79" t="str">
        <v>composite</v>
      </c>
      <c r="H79" t="str">
        <v>TRADEWAR</v>
      </c>
      <c r="I79" t="str">
        <v>lognormal</v>
      </c>
      <c r="J79">
        <v>1E-4</v>
      </c>
    </row>
    <row r="80" spans="1:10" x14ac:dyDescent="0.25">
      <c r="A80" t="str">
        <v>IRAN</v>
      </c>
      <c r="B80" t="str">
        <v>Theme</v>
      </c>
      <c r="C80" t="str">
        <v>USD</v>
      </c>
      <c r="D80">
        <v>1</v>
      </c>
      <c r="E80">
        <v>1</v>
      </c>
      <c r="F80" t="str">
        <v>USO 1</v>
      </c>
      <c r="G80" t="str">
        <v>composite</v>
      </c>
      <c r="H80" t="str">
        <v>IRAN</v>
      </c>
      <c r="I80" t="str">
        <v>lognormal</v>
      </c>
      <c r="J80">
        <v>1E-4</v>
      </c>
    </row>
    <row r="81" spans="1:10" x14ac:dyDescent="0.25">
      <c r="A81" t="str">
        <v>SEMI-SOFT</v>
      </c>
      <c r="B81" t="str">
        <v>Theme</v>
      </c>
      <c r="C81" t="str">
        <v>USD</v>
      </c>
      <c r="D81">
        <v>1</v>
      </c>
      <c r="E81">
        <v>1</v>
      </c>
      <c r="F81" t="str">
        <v>SMH 1, IGV -1, QQQ 1</v>
      </c>
      <c r="G81" t="str">
        <v>composite</v>
      </c>
      <c r="H81" t="str">
        <v>SEMI-SOFT</v>
      </c>
      <c r="I81" t="str">
        <v>lognormal</v>
      </c>
      <c r="J81">
        <v>1E-4</v>
      </c>
    </row>
    <row r="82" spans="1:10" x14ac:dyDescent="0.25">
      <c r="A82" t="str">
        <v>2s10s</v>
      </c>
      <c r="B82" t="str">
        <v>Rates</v>
      </c>
      <c r="C82" t="str">
        <v>USD</v>
      </c>
      <c r="D82">
        <v>1</v>
      </c>
      <c r="E82">
        <v>1</v>
      </c>
      <c r="F82" t="str">
        <v>SHY -3.86, IEF 1</v>
      </c>
      <c r="G82" t="str">
        <v>composite</v>
      </c>
      <c r="H82" t="str">
        <v>2s10s</v>
      </c>
      <c r="I82" t="str">
        <v>lognormal</v>
      </c>
      <c r="J82">
        <v>1E-4</v>
      </c>
    </row>
    <row r="83" spans="1:10" x14ac:dyDescent="0.25">
      <c r="A83" t="str">
        <v>XLPXLY</v>
      </c>
      <c r="B83" t="str">
        <v>Equities</v>
      </c>
      <c r="C83" t="str">
        <v>USD</v>
      </c>
      <c r="D83">
        <v>1</v>
      </c>
      <c r="E83">
        <v>1</v>
      </c>
      <c r="F83" t="str">
        <v>Staples/Discretionary</v>
      </c>
      <c r="G83" t="str">
        <v>composite</v>
      </c>
      <c r="H83" t="str">
        <v>XLPXLY</v>
      </c>
      <c r="I83" t="str">
        <v>lognormal</v>
      </c>
      <c r="J83">
        <v>1E-4</v>
      </c>
    </row>
    <row r="84" spans="1:10" x14ac:dyDescent="0.25">
      <c r="A84" t="str">
        <v>BTC</v>
      </c>
      <c r="B84" t="str">
        <v>Currencies</v>
      </c>
      <c r="C84" t="str">
        <v>USD</v>
      </c>
      <c r="D84">
        <v>0</v>
      </c>
      <c r="E84">
        <v>0</v>
      </c>
      <c r="F84" t="str">
        <v>-</v>
      </c>
      <c r="G84" t="str">
        <v>lmxl</v>
      </c>
      <c r="H84" t="str">
        <v>BTC1_price</v>
      </c>
      <c r="I84" t="str">
        <v>lognormal</v>
      </c>
      <c r="J84">
        <v>1E-4</v>
      </c>
    </row>
    <row r="85" spans="1:10" x14ac:dyDescent="0.25">
      <c r="A85" t="str">
        <v>BTC_vol</v>
      </c>
      <c r="B85" t="str">
        <v>Vol</v>
      </c>
      <c r="C85" t="str">
        <v>USD</v>
      </c>
      <c r="D85">
        <v>0</v>
      </c>
      <c r="E85">
        <v>0</v>
      </c>
      <c r="F85" t="str">
        <v>-</v>
      </c>
      <c r="G85" t="str">
        <v>lmxl</v>
      </c>
      <c r="H85" t="str">
        <v>BTC1_atm</v>
      </c>
      <c r="I85" t="str">
        <v>normal</v>
      </c>
      <c r="J85">
        <v>-0.01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1E7A-08A5-4042-86E1-7986ED98437B}">
  <dimension ref="A1:J6"/>
  <sheetViews>
    <sheetView showGridLines="0" workbookViewId="0">
      <selection activeCell="H5" sqref="H5"/>
    </sheetView>
  </sheetViews>
  <sheetFormatPr defaultRowHeight="15" x14ac:dyDescent="0.25"/>
  <sheetData>
    <row r="1" spans="1:10" x14ac:dyDescent="0.25">
      <c r="A1" t="str">
        <f>read!A1</f>
        <v>factor_name</v>
      </c>
      <c r="B1" t="str" cm="1">
        <f t="array" ref="B1:J1">_xlfn.DROP(_xlfn.TRIMRANGE(read!1:1),,1)</f>
        <v>asset_class</v>
      </c>
      <c r="C1" t="str">
        <v>region</v>
      </c>
      <c r="D1" t="str">
        <v>hyper_factor</v>
      </c>
      <c r="E1" t="str">
        <v>composite</v>
      </c>
      <c r="F1" t="str">
        <v>description</v>
      </c>
      <c r="G1" t="str">
        <v>source</v>
      </c>
      <c r="H1" t="str">
        <v>ticker</v>
      </c>
      <c r="I1" t="str">
        <v>diffusion_type</v>
      </c>
      <c r="J1" t="str">
        <v>multiplier</v>
      </c>
    </row>
    <row r="2" spans="1:10" x14ac:dyDescent="0.25">
      <c r="A2" t="str" cm="1">
        <f t="array" ref="A2:A6">_xlfn.CHOOSEROWS(_xlfn.ANCHORARRAY(read!A2),_xlfn.SEQUENCE(5))</f>
        <v>SPY</v>
      </c>
      <c r="B2" t="str" cm="1">
        <f t="array" ref="B2:J6">INDEX(data[],_xlfn.XMATCH(_xlfn.ANCHORARRAY(A2),data[factor_name]),_xlfn.XMATCH(_xlfn.ANCHORARRAY(B1),data[#Headers]))</f>
        <v>Equities</v>
      </c>
      <c r="C2" t="str">
        <v>USD</v>
      </c>
      <c r="D2">
        <v>1</v>
      </c>
      <c r="E2">
        <v>0</v>
      </c>
      <c r="F2" t="str">
        <v>S&amp;P 500</v>
      </c>
      <c r="G2" t="str">
        <v>yfinance</v>
      </c>
      <c r="H2" t="str">
        <v>SPY</v>
      </c>
      <c r="I2" t="str">
        <v>lognormal</v>
      </c>
      <c r="J2">
        <v>1E-4</v>
      </c>
    </row>
    <row r="3" spans="1:10" x14ac:dyDescent="0.25">
      <c r="A3" t="str">
        <v>IWM</v>
      </c>
      <c r="B3" t="str">
        <v>Equities</v>
      </c>
      <c r="C3" t="str">
        <v>USD</v>
      </c>
      <c r="D3">
        <v>0</v>
      </c>
      <c r="E3">
        <v>0</v>
      </c>
      <c r="F3" t="str">
        <v>Russell 2000</v>
      </c>
      <c r="G3" t="str">
        <v>yfinance</v>
      </c>
      <c r="H3" t="str">
        <v>IWM</v>
      </c>
      <c r="I3" t="str">
        <v>lognormal</v>
      </c>
      <c r="J3">
        <v>1E-4</v>
      </c>
    </row>
    <row r="4" spans="1:10" x14ac:dyDescent="0.25">
      <c r="A4" t="str">
        <v>MDY</v>
      </c>
      <c r="B4" t="str">
        <v>Equities</v>
      </c>
      <c r="C4" t="str">
        <v>USD</v>
      </c>
      <c r="D4">
        <v>0</v>
      </c>
      <c r="E4">
        <v>0</v>
      </c>
      <c r="F4" t="str">
        <v>S&amp;P 400</v>
      </c>
      <c r="G4" t="str">
        <v>yfinance</v>
      </c>
      <c r="H4" t="str">
        <v>MDY</v>
      </c>
      <c r="I4" t="str">
        <v>lognormal</v>
      </c>
      <c r="J4">
        <v>1E-4</v>
      </c>
    </row>
    <row r="5" spans="1:10" x14ac:dyDescent="0.25">
      <c r="A5" t="str">
        <v>RSP</v>
      </c>
      <c r="B5" t="str">
        <v>Equities</v>
      </c>
      <c r="C5" t="str">
        <v>USD</v>
      </c>
      <c r="D5">
        <v>0</v>
      </c>
      <c r="E5">
        <v>0</v>
      </c>
      <c r="F5" t="str">
        <v>S&amp;P 500 EW</v>
      </c>
      <c r="G5" t="str">
        <v>yfinance</v>
      </c>
      <c r="H5" t="str">
        <v>RSP</v>
      </c>
      <c r="I5" t="str">
        <v>lognormal</v>
      </c>
      <c r="J5">
        <v>1E-4</v>
      </c>
    </row>
    <row r="6" spans="1:10" x14ac:dyDescent="0.25">
      <c r="A6" t="str">
        <v>QQQ</v>
      </c>
      <c r="B6" t="str">
        <v>Equities</v>
      </c>
      <c r="C6" t="str">
        <v>USD</v>
      </c>
      <c r="D6">
        <v>0</v>
      </c>
      <c r="E6">
        <v>0</v>
      </c>
      <c r="F6" t="str">
        <v>Nasdaq 100</v>
      </c>
      <c r="G6" t="str">
        <v>yfinance</v>
      </c>
      <c r="H6" t="str">
        <v>QQQ</v>
      </c>
      <c r="I6" t="str">
        <v>lognormal</v>
      </c>
      <c r="J6">
        <v>1E-4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8F2F-299B-47F7-8064-36693758F4E3}">
  <sheetPr codeName="Sheet9"/>
  <dimension ref="A1:E76"/>
  <sheetViews>
    <sheetView showGridLines="0" workbookViewId="0">
      <selection activeCell="B2" sqref="B2"/>
    </sheetView>
  </sheetViews>
  <sheetFormatPr defaultRowHeight="15" x14ac:dyDescent="0.25"/>
  <cols>
    <col min="5" max="5" width="44.28515625" bestFit="1" customWidth="1"/>
  </cols>
  <sheetData>
    <row r="1" spans="1:5" x14ac:dyDescent="0.25">
      <c r="A1" t="s">
        <v>2</v>
      </c>
      <c r="B1" t="s">
        <v>322</v>
      </c>
      <c r="C1" t="s">
        <v>316</v>
      </c>
      <c r="D1" t="s">
        <v>428</v>
      </c>
      <c r="E1" t="s">
        <v>19</v>
      </c>
    </row>
    <row r="2" spans="1:5" x14ac:dyDescent="0.25">
      <c r="A2" t="str" cm="1">
        <f t="array" ref="A2:A76">_xlfn._xlws.FILTER(data[factor_name],data[Active]*NOT(data[composite]))</f>
        <v>SPY</v>
      </c>
      <c r="B2" t="str" cm="1">
        <f t="array" ref="B2:E76">INDEX(data[],_xlfn.XMATCH(_xlfn.ANCHORARRAY(A2),data[factor_name]),_xlfn.XMATCH(B1:E1,data[#Headers]))</f>
        <v>Equities</v>
      </c>
      <c r="C2" t="str">
        <v>USD</v>
      </c>
      <c r="D2">
        <v>1</v>
      </c>
      <c r="E2" t="str">
        <v>S&amp;P 500</v>
      </c>
    </row>
    <row r="3" spans="1:5" x14ac:dyDescent="0.25">
      <c r="A3" t="str">
        <v>IWM</v>
      </c>
      <c r="B3" t="str">
        <v>Equities</v>
      </c>
      <c r="C3" t="str">
        <v>USD</v>
      </c>
      <c r="D3">
        <v>0</v>
      </c>
      <c r="E3" t="str">
        <v>Russell 2000</v>
      </c>
    </row>
    <row r="4" spans="1:5" x14ac:dyDescent="0.25">
      <c r="A4" t="str">
        <v>MDY</v>
      </c>
      <c r="B4" t="str">
        <v>Equities</v>
      </c>
      <c r="C4" t="str">
        <v>USD</v>
      </c>
      <c r="D4">
        <v>0</v>
      </c>
      <c r="E4" t="str">
        <v>S&amp;P 400</v>
      </c>
    </row>
    <row r="5" spans="1:5" x14ac:dyDescent="0.25">
      <c r="A5" t="str">
        <v>RSP</v>
      </c>
      <c r="B5" t="str">
        <v>Equities</v>
      </c>
      <c r="C5" t="str">
        <v>USD</v>
      </c>
      <c r="D5">
        <v>0</v>
      </c>
      <c r="E5" t="str">
        <v>S&amp;P 500 EW</v>
      </c>
    </row>
    <row r="6" spans="1:5" x14ac:dyDescent="0.25">
      <c r="A6" t="str">
        <v>QQQ</v>
      </c>
      <c r="B6" t="str">
        <v>Equities</v>
      </c>
      <c r="C6" t="str">
        <v>USD</v>
      </c>
      <c r="D6">
        <v>0</v>
      </c>
      <c r="E6" t="str">
        <v>Nasdaq 100</v>
      </c>
    </row>
    <row r="7" spans="1:5" x14ac:dyDescent="0.25">
      <c r="A7" t="str">
        <v>DIA</v>
      </c>
      <c r="B7" t="str">
        <v>Equities</v>
      </c>
      <c r="C7" t="str">
        <v>USD</v>
      </c>
      <c r="D7">
        <v>0</v>
      </c>
      <c r="E7" t="str">
        <v>Dow Jones 30</v>
      </c>
    </row>
    <row r="8" spans="1:5" x14ac:dyDescent="0.25">
      <c r="A8" t="str">
        <v>XLK</v>
      </c>
      <c r="B8" t="str">
        <v>Sector</v>
      </c>
      <c r="C8" t="str">
        <v>USD</v>
      </c>
      <c r="D8">
        <v>0</v>
      </c>
      <c r="E8" t="str">
        <v>Technology</v>
      </c>
    </row>
    <row r="9" spans="1:5" x14ac:dyDescent="0.25">
      <c r="A9" t="str">
        <v>XLI</v>
      </c>
      <c r="B9" t="str">
        <v>Sector</v>
      </c>
      <c r="C9" t="str">
        <v>USD</v>
      </c>
      <c r="D9">
        <v>0</v>
      </c>
      <c r="E9" t="str">
        <v>Industrials</v>
      </c>
    </row>
    <row r="10" spans="1:5" x14ac:dyDescent="0.25">
      <c r="A10" t="str">
        <v>XLF</v>
      </c>
      <c r="B10" t="str">
        <v>Sector</v>
      </c>
      <c r="C10" t="str">
        <v>USD</v>
      </c>
      <c r="D10">
        <v>0</v>
      </c>
      <c r="E10" t="str">
        <v>Financials</v>
      </c>
    </row>
    <row r="11" spans="1:5" x14ac:dyDescent="0.25">
      <c r="A11" t="str">
        <v>KRE</v>
      </c>
      <c r="B11" t="str">
        <v>Sector</v>
      </c>
      <c r="C11" t="str">
        <v>USD</v>
      </c>
      <c r="D11">
        <v>0</v>
      </c>
      <c r="E11" t="str">
        <v>Regional Banks</v>
      </c>
    </row>
    <row r="12" spans="1:5" x14ac:dyDescent="0.25">
      <c r="A12" t="str">
        <v>XLC</v>
      </c>
      <c r="B12" t="str">
        <v>Sector</v>
      </c>
      <c r="C12" t="str">
        <v>USD</v>
      </c>
      <c r="D12">
        <v>0</v>
      </c>
      <c r="E12" t="str">
        <v>Communications</v>
      </c>
    </row>
    <row r="13" spans="1:5" x14ac:dyDescent="0.25">
      <c r="A13" t="str">
        <v>XLE</v>
      </c>
      <c r="B13" t="str">
        <v>Sector</v>
      </c>
      <c r="C13" t="str">
        <v>USD</v>
      </c>
      <c r="D13">
        <v>0</v>
      </c>
      <c r="E13" t="str">
        <v>Energy</v>
      </c>
    </row>
    <row r="14" spans="1:5" x14ac:dyDescent="0.25">
      <c r="A14" t="str">
        <v>XLY</v>
      </c>
      <c r="B14" t="str">
        <v>Sector</v>
      </c>
      <c r="C14" t="str">
        <v>USD</v>
      </c>
      <c r="D14">
        <v>0</v>
      </c>
      <c r="E14" t="str">
        <v>Discretionary</v>
      </c>
    </row>
    <row r="15" spans="1:5" x14ac:dyDescent="0.25">
      <c r="A15" t="str">
        <v>XLB</v>
      </c>
      <c r="B15" t="str">
        <v>Sector</v>
      </c>
      <c r="C15" t="str">
        <v>USD</v>
      </c>
      <c r="D15">
        <v>0</v>
      </c>
      <c r="E15" t="str">
        <v>Materials</v>
      </c>
    </row>
    <row r="16" spans="1:5" x14ac:dyDescent="0.25">
      <c r="A16" t="str">
        <v>XLV</v>
      </c>
      <c r="B16" t="str">
        <v>Sector</v>
      </c>
      <c r="C16" t="str">
        <v>USD</v>
      </c>
      <c r="D16">
        <v>0</v>
      </c>
      <c r="E16" t="str">
        <v>Health Care</v>
      </c>
    </row>
    <row r="17" spans="1:5" x14ac:dyDescent="0.25">
      <c r="A17" t="str">
        <v>XLU</v>
      </c>
      <c r="B17" t="str">
        <v>Sector</v>
      </c>
      <c r="C17" t="str">
        <v>USD</v>
      </c>
      <c r="D17">
        <v>0</v>
      </c>
      <c r="E17" t="str">
        <v>Utilities</v>
      </c>
    </row>
    <row r="18" spans="1:5" x14ac:dyDescent="0.25">
      <c r="A18" t="str">
        <v>XLP</v>
      </c>
      <c r="B18" t="str">
        <v>Sector</v>
      </c>
      <c r="C18" t="str">
        <v>USD</v>
      </c>
      <c r="D18">
        <v>0</v>
      </c>
      <c r="E18" t="str">
        <v>Staples</v>
      </c>
    </row>
    <row r="19" spans="1:5" x14ac:dyDescent="0.25">
      <c r="A19" t="str">
        <v>IYR</v>
      </c>
      <c r="B19" t="str">
        <v>Equities</v>
      </c>
      <c r="C19" t="str">
        <v>USD</v>
      </c>
      <c r="D19">
        <v>0</v>
      </c>
      <c r="E19" t="str">
        <v>iShares U.S. Real Estate ETF</v>
      </c>
    </row>
    <row r="20" spans="1:5" x14ac:dyDescent="0.25">
      <c r="A20" t="str">
        <v>VNQ</v>
      </c>
      <c r="B20" t="str">
        <v>Equities</v>
      </c>
      <c r="C20" t="str">
        <v>USD</v>
      </c>
      <c r="D20">
        <v>0</v>
      </c>
      <c r="E20" t="str">
        <v>Vanguard Real Estate ETF</v>
      </c>
    </row>
    <row r="21" spans="1:5" x14ac:dyDescent="0.25">
      <c r="A21" t="str">
        <v>SMH</v>
      </c>
      <c r="B21" t="str">
        <v>Equities</v>
      </c>
      <c r="C21" t="str">
        <v>USD</v>
      </c>
      <c r="D21">
        <v>0</v>
      </c>
      <c r="E21" t="str">
        <v>Semiconductors</v>
      </c>
    </row>
    <row r="22" spans="1:5" x14ac:dyDescent="0.25">
      <c r="A22" t="str">
        <v>IGV</v>
      </c>
      <c r="B22" t="str">
        <v>Equities</v>
      </c>
      <c r="C22" t="str">
        <v>USD</v>
      </c>
      <c r="D22">
        <v>0</v>
      </c>
      <c r="E22" t="str">
        <v>Software</v>
      </c>
    </row>
    <row r="23" spans="1:5" x14ac:dyDescent="0.25">
      <c r="A23" t="str">
        <v>AIQ</v>
      </c>
      <c r="B23" t="str">
        <v>Equities</v>
      </c>
      <c r="C23" t="str">
        <v>USD</v>
      </c>
      <c r="D23">
        <v>0</v>
      </c>
      <c r="E23" t="str">
        <v>Artificial Intelligence</v>
      </c>
    </row>
    <row r="24" spans="1:5" x14ac:dyDescent="0.25">
      <c r="A24" t="str">
        <v>ICLN</v>
      </c>
      <c r="B24" t="str">
        <v>Equities</v>
      </c>
      <c r="C24" t="str">
        <v>USD</v>
      </c>
      <c r="D24">
        <v>0</v>
      </c>
      <c r="E24" t="str">
        <v>Clean Energy</v>
      </c>
    </row>
    <row r="25" spans="1:5" x14ac:dyDescent="0.25">
      <c r="A25" t="str">
        <v>BIZD</v>
      </c>
      <c r="B25" t="str">
        <v>Equities</v>
      </c>
      <c r="C25" t="str">
        <v>USD</v>
      </c>
      <c r="D25">
        <v>0</v>
      </c>
      <c r="E25" t="str">
        <v>Private Debt</v>
      </c>
    </row>
    <row r="26" spans="1:5" x14ac:dyDescent="0.25">
      <c r="A26" t="str">
        <v>PSP</v>
      </c>
      <c r="B26" t="str">
        <v>Equities</v>
      </c>
      <c r="C26" t="str">
        <v>USD</v>
      </c>
      <c r="D26">
        <v>0</v>
      </c>
      <c r="E26" t="str">
        <v>Private Equity</v>
      </c>
    </row>
    <row r="27" spans="1:5" x14ac:dyDescent="0.25">
      <c r="A27" t="str">
        <v>PFF</v>
      </c>
      <c r="B27" t="str">
        <v>Equities</v>
      </c>
      <c r="C27" t="str">
        <v>USD</v>
      </c>
      <c r="D27">
        <v>0</v>
      </c>
      <c r="E27" t="str">
        <v>Preferred</v>
      </c>
    </row>
    <row r="28" spans="1:5" x14ac:dyDescent="0.25">
      <c r="A28" t="str">
        <v>FEZ</v>
      </c>
      <c r="B28" t="str">
        <v>Equities</v>
      </c>
      <c r="C28" t="str">
        <v>USD</v>
      </c>
      <c r="D28">
        <v>0</v>
      </c>
      <c r="E28" t="str">
        <v>Eurostoxx 50</v>
      </c>
    </row>
    <row r="29" spans="1:5" x14ac:dyDescent="0.25">
      <c r="A29" t="str">
        <v>EWU</v>
      </c>
      <c r="B29" t="str">
        <v>Equities</v>
      </c>
      <c r="C29" t="str">
        <v>GBP</v>
      </c>
      <c r="D29">
        <v>0</v>
      </c>
      <c r="E29" t="str">
        <v>FTSE 100</v>
      </c>
    </row>
    <row r="30" spans="1:5" x14ac:dyDescent="0.25">
      <c r="A30" t="str">
        <v>DAX</v>
      </c>
      <c r="B30" t="str">
        <v>Equities</v>
      </c>
      <c r="C30" t="str">
        <v>EUR</v>
      </c>
      <c r="D30">
        <v>0</v>
      </c>
      <c r="E30" t="str">
        <v>DAX (Germany)</v>
      </c>
    </row>
    <row r="31" spans="1:5" x14ac:dyDescent="0.25">
      <c r="A31" t="str">
        <v>EWC</v>
      </c>
      <c r="B31" t="str">
        <v>Equities</v>
      </c>
      <c r="C31" t="str">
        <v>CAD</v>
      </c>
      <c r="D31">
        <v>0</v>
      </c>
      <c r="E31" t="str">
        <v>MSCI Canada</v>
      </c>
    </row>
    <row r="32" spans="1:5" x14ac:dyDescent="0.25">
      <c r="A32" t="str">
        <v>EWI</v>
      </c>
      <c r="B32" t="str">
        <v>Equities</v>
      </c>
      <c r="C32" t="str">
        <v>EUR</v>
      </c>
      <c r="D32">
        <v>0</v>
      </c>
      <c r="E32" t="str">
        <v>MSCI Italy</v>
      </c>
    </row>
    <row r="33" spans="1:5" x14ac:dyDescent="0.25">
      <c r="A33" t="str">
        <v>^N225</v>
      </c>
      <c r="B33" t="str">
        <v>Equities</v>
      </c>
      <c r="C33" t="str">
        <v>JPY</v>
      </c>
      <c r="D33">
        <v>0</v>
      </c>
      <c r="E33" t="str">
        <v>Nikkei 225</v>
      </c>
    </row>
    <row r="34" spans="1:5" x14ac:dyDescent="0.25">
      <c r="A34" t="str">
        <v>FXI</v>
      </c>
      <c r="B34" t="str">
        <v>Equities</v>
      </c>
      <c r="C34" t="str">
        <v>CNH</v>
      </c>
      <c r="D34">
        <v>0</v>
      </c>
      <c r="E34" t="str">
        <v>China Large-Cap</v>
      </c>
    </row>
    <row r="35" spans="1:5" x14ac:dyDescent="0.25">
      <c r="A35" t="str">
        <v>ASHR</v>
      </c>
      <c r="B35" t="str">
        <v>Equities</v>
      </c>
      <c r="C35" t="str">
        <v>CNH</v>
      </c>
      <c r="D35">
        <v>0</v>
      </c>
      <c r="E35" t="str">
        <v>CSI 300 (China)</v>
      </c>
    </row>
    <row r="36" spans="1:5" x14ac:dyDescent="0.25">
      <c r="A36" t="str">
        <v>KWEB</v>
      </c>
      <c r="B36" t="str">
        <v>Equities</v>
      </c>
      <c r="C36" t="str">
        <v>CNH</v>
      </c>
      <c r="D36">
        <v>0</v>
      </c>
      <c r="E36" t="str">
        <v>CSI China Internet</v>
      </c>
    </row>
    <row r="37" spans="1:5" x14ac:dyDescent="0.25">
      <c r="A37" t="str">
        <v>EEM</v>
      </c>
      <c r="B37" t="str">
        <v>Equities</v>
      </c>
      <c r="C37" t="str">
        <v>EM</v>
      </c>
      <c r="D37">
        <v>0</v>
      </c>
      <c r="E37" t="str">
        <v>MSCI EM</v>
      </c>
    </row>
    <row r="38" spans="1:5" x14ac:dyDescent="0.25">
      <c r="A38" t="str">
        <v>LQD</v>
      </c>
      <c r="B38" t="str">
        <v>Credit</v>
      </c>
      <c r="C38" t="str">
        <v>USD</v>
      </c>
      <c r="D38">
        <v>0</v>
      </c>
      <c r="E38" t="str">
        <v>iShares iBoxx $ Investment Grade Corporate Bond ETF</v>
      </c>
    </row>
    <row r="39" spans="1:5" x14ac:dyDescent="0.25">
      <c r="A39" t="str">
        <v>BSV</v>
      </c>
      <c r="B39" t="str">
        <v>Credit</v>
      </c>
      <c r="C39" t="str">
        <v>USD</v>
      </c>
      <c r="D39">
        <v>0</v>
      </c>
      <c r="E39" t="str">
        <v>Vanguard Short-Term Bond Index Fund ETF</v>
      </c>
    </row>
    <row r="40" spans="1:5" x14ac:dyDescent="0.25">
      <c r="A40" t="str">
        <v>HYG</v>
      </c>
      <c r="B40" t="str">
        <v>Credit</v>
      </c>
      <c r="C40" t="str">
        <v>USD</v>
      </c>
      <c r="D40">
        <v>0</v>
      </c>
      <c r="E40" t="str">
        <v>iShares iBoxx $ High Yield Corporate Bond ETF</v>
      </c>
    </row>
    <row r="41" spans="1:5" x14ac:dyDescent="0.25">
      <c r="A41" t="str">
        <v>LQDH</v>
      </c>
      <c r="B41" t="str">
        <v>Credit</v>
      </c>
      <c r="C41" t="str">
        <v>USD</v>
      </c>
      <c r="D41">
        <v>1</v>
      </c>
      <c r="E41" t="str">
        <v>Hedged LQD</v>
      </c>
    </row>
    <row r="42" spans="1:5" x14ac:dyDescent="0.25">
      <c r="A42" t="str">
        <v>HYGH</v>
      </c>
      <c r="B42" t="str">
        <v>Credit</v>
      </c>
      <c r="C42" t="str">
        <v>USD</v>
      </c>
      <c r="D42">
        <v>0</v>
      </c>
      <c r="E42" t="str">
        <v>Hedged HYG</v>
      </c>
    </row>
    <row r="43" spans="1:5" x14ac:dyDescent="0.25">
      <c r="A43" t="str">
        <v>BKLN</v>
      </c>
      <c r="B43" t="str">
        <v>Credit</v>
      </c>
      <c r="C43" t="str">
        <v>USD</v>
      </c>
      <c r="D43">
        <v>0</v>
      </c>
      <c r="E43" t="str">
        <v>Bank Loans</v>
      </c>
    </row>
    <row r="44" spans="1:5" x14ac:dyDescent="0.25">
      <c r="A44" t="str">
        <v>AGG</v>
      </c>
      <c r="B44" t="str">
        <v>Credit</v>
      </c>
      <c r="C44" t="str">
        <v>USD</v>
      </c>
      <c r="D44">
        <v>0</v>
      </c>
      <c r="E44" t="str">
        <v>US Agg</v>
      </c>
    </row>
    <row r="45" spans="1:5" x14ac:dyDescent="0.25">
      <c r="A45" t="str">
        <v>^TNX</v>
      </c>
      <c r="B45" t="str">
        <v>Rates</v>
      </c>
      <c r="C45" t="str">
        <v>USD</v>
      </c>
      <c r="D45">
        <v>0</v>
      </c>
      <c r="E45" t="str">
        <v>CBOE Interest Rate 10 Year</v>
      </c>
    </row>
    <row r="46" spans="1:5" x14ac:dyDescent="0.25">
      <c r="A46" t="str">
        <v>SHY</v>
      </c>
      <c r="B46" t="str">
        <v>Rates</v>
      </c>
      <c r="C46" t="str">
        <v>USD</v>
      </c>
      <c r="D46">
        <v>0</v>
      </c>
      <c r="E46" t="str">
        <v>1-3 Year Treasury</v>
      </c>
    </row>
    <row r="47" spans="1:5" x14ac:dyDescent="0.25">
      <c r="A47" t="str">
        <v>IEI</v>
      </c>
      <c r="B47" t="str">
        <v>Rates</v>
      </c>
      <c r="C47" t="str">
        <v>USD</v>
      </c>
      <c r="D47">
        <v>0</v>
      </c>
      <c r="E47" t="str">
        <v>3-7 Year Treasury</v>
      </c>
    </row>
    <row r="48" spans="1:5" x14ac:dyDescent="0.25">
      <c r="A48" t="str">
        <v>IEF</v>
      </c>
      <c r="B48" t="str">
        <v>Rates</v>
      </c>
      <c r="C48" t="str">
        <v>USD</v>
      </c>
      <c r="D48">
        <v>1</v>
      </c>
      <c r="E48" t="str">
        <v>7-10 Year Treasury</v>
      </c>
    </row>
    <row r="49" spans="1:5" x14ac:dyDescent="0.25">
      <c r="A49" t="str">
        <v>TLT</v>
      </c>
      <c r="B49" t="str">
        <v>Rates</v>
      </c>
      <c r="C49" t="str">
        <v>USD</v>
      </c>
      <c r="D49">
        <v>0</v>
      </c>
      <c r="E49" t="str">
        <v>20+ Year Treasury</v>
      </c>
    </row>
    <row r="50" spans="1:5" x14ac:dyDescent="0.25">
      <c r="A50" t="str">
        <v>TIP</v>
      </c>
      <c r="B50" t="str">
        <v>Rates</v>
      </c>
      <c r="C50" t="str">
        <v>USD</v>
      </c>
      <c r="D50">
        <v>0</v>
      </c>
      <c r="E50" t="str">
        <v>iShares TIPS Bond ETF</v>
      </c>
    </row>
    <row r="51" spans="1:5" x14ac:dyDescent="0.25">
      <c r="A51" t="str">
        <v>VTIP</v>
      </c>
      <c r="B51" t="str">
        <v>Rates</v>
      </c>
      <c r="C51" t="str">
        <v>USD</v>
      </c>
      <c r="D51">
        <v>0</v>
      </c>
      <c r="E51" t="str">
        <v>Short-Term Inflation-Protected Securities ETF</v>
      </c>
    </row>
    <row r="52" spans="1:5" x14ac:dyDescent="0.25">
      <c r="A52" t="str">
        <v>AGNC</v>
      </c>
      <c r="B52" t="str">
        <v>Rates</v>
      </c>
      <c r="C52" t="str">
        <v>USD</v>
      </c>
      <c r="D52">
        <v>0</v>
      </c>
      <c r="E52" t="str">
        <v>AGNC Investment Corp.</v>
      </c>
    </row>
    <row r="53" spans="1:5" x14ac:dyDescent="0.25">
      <c r="A53" t="str">
        <v>VMBS</v>
      </c>
      <c r="B53" t="str">
        <v>Rates</v>
      </c>
      <c r="C53" t="str">
        <v>USD</v>
      </c>
      <c r="D53">
        <v>0</v>
      </c>
      <c r="E53" t="str">
        <v>Mortgage-Backed Securities ETF</v>
      </c>
    </row>
    <row r="54" spans="1:5" x14ac:dyDescent="0.25">
      <c r="A54" t="str">
        <v>CMBS</v>
      </c>
      <c r="B54" t="str">
        <v>Rates</v>
      </c>
      <c r="C54" t="str">
        <v>USD</v>
      </c>
      <c r="D54">
        <v>0</v>
      </c>
      <c r="E54" t="str">
        <v>iShares CMBS ETF</v>
      </c>
    </row>
    <row r="55" spans="1:5" x14ac:dyDescent="0.25">
      <c r="A55" t="str">
        <v>EMB</v>
      </c>
      <c r="B55" t="str">
        <v>Rates</v>
      </c>
      <c r="C55" t="str">
        <v>EM</v>
      </c>
      <c r="D55">
        <v>0</v>
      </c>
      <c r="E55" t="str">
        <v>iShares J.P. Morgan USD Emerging Markets Bond ETF</v>
      </c>
    </row>
    <row r="56" spans="1:5" x14ac:dyDescent="0.25">
      <c r="A56" t="str">
        <v>GLD</v>
      </c>
      <c r="B56" t="str">
        <v>Commodities</v>
      </c>
      <c r="C56" t="str">
        <v>USD</v>
      </c>
      <c r="D56">
        <v>0</v>
      </c>
      <c r="E56" t="str">
        <v>SPDR Gold Shares</v>
      </c>
    </row>
    <row r="57" spans="1:5" x14ac:dyDescent="0.25">
      <c r="A57" t="str">
        <v>SLV</v>
      </c>
      <c r="B57" t="str">
        <v>Commodities</v>
      </c>
      <c r="C57" t="str">
        <v>USD</v>
      </c>
      <c r="D57">
        <v>0</v>
      </c>
      <c r="E57" t="str">
        <v>iShares Silver Trust</v>
      </c>
    </row>
    <row r="58" spans="1:5" x14ac:dyDescent="0.25">
      <c r="A58" t="str">
        <v>USO</v>
      </c>
      <c r="B58" t="str">
        <v>Commodities</v>
      </c>
      <c r="C58" t="str">
        <v>USD</v>
      </c>
      <c r="D58">
        <v>0</v>
      </c>
      <c r="E58" t="str">
        <v>United States Oil Fund</v>
      </c>
    </row>
    <row r="59" spans="1:5" x14ac:dyDescent="0.25">
      <c r="A59" t="str">
        <v>UUP</v>
      </c>
      <c r="B59" t="str">
        <v>Currencies</v>
      </c>
      <c r="C59" t="str">
        <v>USD</v>
      </c>
      <c r="D59">
        <v>0</v>
      </c>
      <c r="E59" t="str">
        <v>Invesco DB US Dollar Index Bullish Fund</v>
      </c>
    </row>
    <row r="60" spans="1:5" x14ac:dyDescent="0.25">
      <c r="A60" t="str">
        <v>DX-Y.NYB</v>
      </c>
      <c r="B60" t="str">
        <v>Currencies</v>
      </c>
      <c r="C60" t="str">
        <v>USD</v>
      </c>
      <c r="D60">
        <v>0</v>
      </c>
      <c r="E60" t="str">
        <v>U.S. Dollar Index</v>
      </c>
    </row>
    <row r="61" spans="1:5" x14ac:dyDescent="0.25">
      <c r="A61" t="str">
        <v>FXE</v>
      </c>
      <c r="B61" t="str">
        <v>Currencies</v>
      </c>
      <c r="C61" t="str">
        <v>EUR</v>
      </c>
      <c r="D61">
        <v>0</v>
      </c>
      <c r="E61" t="str">
        <v>Invesco CurrencyShares Euro Trust</v>
      </c>
    </row>
    <row r="62" spans="1:5" x14ac:dyDescent="0.25">
      <c r="A62" t="str">
        <v>FXF</v>
      </c>
      <c r="B62" t="str">
        <v>Currencies</v>
      </c>
      <c r="C62" t="str">
        <v>EUR</v>
      </c>
      <c r="D62">
        <v>0</v>
      </c>
      <c r="E62" t="str">
        <v>Invesco CurrencyShares Swiss Franc Trust</v>
      </c>
    </row>
    <row r="63" spans="1:5" x14ac:dyDescent="0.25">
      <c r="A63" t="str">
        <v>FXA</v>
      </c>
      <c r="B63" t="str">
        <v>Currencies</v>
      </c>
      <c r="C63" t="str">
        <v>Commod</v>
      </c>
      <c r="D63">
        <v>0</v>
      </c>
      <c r="E63" t="str">
        <v>Invesco CurrencyShares Australian Dollar Trust</v>
      </c>
    </row>
    <row r="64" spans="1:5" x14ac:dyDescent="0.25">
      <c r="A64" t="str">
        <v>FXB</v>
      </c>
      <c r="B64" t="str">
        <v>Currencies</v>
      </c>
      <c r="C64" t="str">
        <v>GBP</v>
      </c>
      <c r="D64">
        <v>0</v>
      </c>
      <c r="E64" t="str">
        <v>Invesco CurrencyShares British Pound Sterling Trust</v>
      </c>
    </row>
    <row r="65" spans="1:5" x14ac:dyDescent="0.25">
      <c r="A65" t="str">
        <v>FXC</v>
      </c>
      <c r="B65" t="str">
        <v>Currencies</v>
      </c>
      <c r="C65" t="str">
        <v>USD</v>
      </c>
      <c r="D65">
        <v>0</v>
      </c>
      <c r="E65" t="str">
        <v>Invesco CurrencyShares Canadian Dollar Trust</v>
      </c>
    </row>
    <row r="66" spans="1:5" x14ac:dyDescent="0.25">
      <c r="A66" t="str">
        <v>FXY</v>
      </c>
      <c r="B66" t="str">
        <v>Currencies</v>
      </c>
      <c r="C66" t="str">
        <v>JPY</v>
      </c>
      <c r="D66">
        <v>0</v>
      </c>
      <c r="E66" t="str">
        <v>Invesco CurrencyShares Japanese Yen Trust</v>
      </c>
    </row>
    <row r="67" spans="1:5" x14ac:dyDescent="0.25">
      <c r="A67" t="str">
        <v>^VIX</v>
      </c>
      <c r="B67" t="str">
        <v>Vol</v>
      </c>
      <c r="C67" t="str">
        <v>USD</v>
      </c>
      <c r="D67">
        <v>0</v>
      </c>
      <c r="E67" t="str">
        <v>CBOE Volatility Index</v>
      </c>
    </row>
    <row r="68" spans="1:5" x14ac:dyDescent="0.25">
      <c r="A68" t="str">
        <v>VXX</v>
      </c>
      <c r="B68" t="str">
        <v>Vol</v>
      </c>
      <c r="C68" t="str">
        <v>USD</v>
      </c>
      <c r="D68">
        <v>0</v>
      </c>
      <c r="E68" t="str">
        <v>VIX Short-Term Futures ETN</v>
      </c>
    </row>
    <row r="69" spans="1:5" x14ac:dyDescent="0.25">
      <c r="A69" t="str">
        <v>^VIX3M</v>
      </c>
      <c r="B69" t="str">
        <v>Vol</v>
      </c>
      <c r="C69" t="str">
        <v>USD</v>
      </c>
      <c r="D69">
        <v>0</v>
      </c>
      <c r="E69" t="str">
        <v>CBOE S&amp;P 500 3-Month Volatility</v>
      </c>
    </row>
    <row r="70" spans="1:5" x14ac:dyDescent="0.25">
      <c r="A70" t="str">
        <v>^MOVE</v>
      </c>
      <c r="B70" t="str">
        <v>Vol</v>
      </c>
      <c r="C70" t="str">
        <v>USD</v>
      </c>
      <c r="D70">
        <v>0</v>
      </c>
      <c r="E70" t="str">
        <v>ICE BofAML MOVE Index</v>
      </c>
    </row>
    <row r="71" spans="1:5" x14ac:dyDescent="0.25">
      <c r="A71" t="str">
        <v>^OVX</v>
      </c>
      <c r="B71" t="str">
        <v>Vol</v>
      </c>
      <c r="C71" t="str">
        <v>USD</v>
      </c>
      <c r="D71">
        <v>0</v>
      </c>
      <c r="E71" t="str">
        <v>CBOE Crude Oil Volatility Index</v>
      </c>
    </row>
    <row r="72" spans="1:5" x14ac:dyDescent="0.25">
      <c r="A72" t="str">
        <v>^GVZ</v>
      </c>
      <c r="B72" t="str">
        <v>Vol</v>
      </c>
      <c r="C72" t="str">
        <v>USD</v>
      </c>
      <c r="D72">
        <v>0</v>
      </c>
      <c r="E72" t="str">
        <v>CBOE Gold Volatility Index</v>
      </c>
    </row>
    <row r="73" spans="1:5" x14ac:dyDescent="0.25">
      <c r="A73" t="str">
        <v>MWTIX</v>
      </c>
      <c r="B73" t="str">
        <v>Portfolio</v>
      </c>
      <c r="C73" t="str">
        <v>USD</v>
      </c>
      <c r="D73">
        <v>1</v>
      </c>
      <c r="E73" t="str">
        <v>TCW MetWest Total Return Bd I</v>
      </c>
    </row>
    <row r="74" spans="1:5" x14ac:dyDescent="0.25">
      <c r="A74" t="str">
        <v>FCNTX</v>
      </c>
      <c r="B74" t="str">
        <v>Portfolio</v>
      </c>
      <c r="C74" t="str">
        <v>USD</v>
      </c>
      <c r="D74">
        <v>0</v>
      </c>
      <c r="E74" t="str">
        <v>Fidelity Contrafund</v>
      </c>
    </row>
    <row r="75" spans="1:5" x14ac:dyDescent="0.25">
      <c r="A75" t="str">
        <v>BTC</v>
      </c>
      <c r="B75" t="str">
        <v>Currencies</v>
      </c>
      <c r="C75" t="str">
        <v>USD</v>
      </c>
      <c r="D75">
        <v>0</v>
      </c>
      <c r="E75" t="str">
        <v>-</v>
      </c>
    </row>
    <row r="76" spans="1:5" x14ac:dyDescent="0.25">
      <c r="A76" t="str">
        <v>BTC_vol</v>
      </c>
      <c r="B76" t="str">
        <v>Vol</v>
      </c>
      <c r="C76" t="str">
        <v>USD</v>
      </c>
      <c r="D76">
        <v>0</v>
      </c>
      <c r="E76" t="str">
        <v>-</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C1D2-D913-4E91-BF4A-1B9A2D2D358E}">
  <sheetPr codeName="Sheet10"/>
  <dimension ref="A1:C9"/>
  <sheetViews>
    <sheetView showGridLines="0" workbookViewId="0">
      <selection activeCell="B9" sqref="B9"/>
    </sheetView>
  </sheetViews>
  <sheetFormatPr defaultRowHeight="15" x14ac:dyDescent="0.25"/>
  <cols>
    <col min="2" max="2" width="102.7109375" bestFit="1" customWidth="1"/>
    <col min="3" max="3" width="59" bestFit="1" customWidth="1"/>
  </cols>
  <sheetData>
    <row r="1" spans="1:3" x14ac:dyDescent="0.25">
      <c r="A1" s="3" t="s">
        <v>20</v>
      </c>
      <c r="B1" s="3" t="s">
        <v>21</v>
      </c>
      <c r="C1" s="3" t="s">
        <v>22</v>
      </c>
    </row>
    <row r="2" spans="1:3" x14ac:dyDescent="0.25">
      <c r="A2" s="4" t="s">
        <v>4</v>
      </c>
      <c r="B2" s="4" t="s">
        <v>23</v>
      </c>
      <c r="C2" s="4" t="s">
        <v>24</v>
      </c>
    </row>
    <row r="3" spans="1:3" x14ac:dyDescent="0.25">
      <c r="A3" s="4" t="s">
        <v>5</v>
      </c>
      <c r="B3" s="4" t="s">
        <v>25</v>
      </c>
      <c r="C3" s="4" t="s">
        <v>26</v>
      </c>
    </row>
    <row r="4" spans="1:3" x14ac:dyDescent="0.25">
      <c r="A4" s="4" t="s">
        <v>7</v>
      </c>
      <c r="B4" s="4" t="s">
        <v>27</v>
      </c>
      <c r="C4" s="4" t="s">
        <v>28</v>
      </c>
    </row>
    <row r="5" spans="1:3" x14ac:dyDescent="0.25">
      <c r="A5" s="4" t="s">
        <v>13</v>
      </c>
      <c r="B5" s="4" t="s">
        <v>29</v>
      </c>
      <c r="C5" s="4" t="s">
        <v>30</v>
      </c>
    </row>
    <row r="6" spans="1:3" x14ac:dyDescent="0.25">
      <c r="A6" s="4" t="s">
        <v>10</v>
      </c>
      <c r="B6" s="4" t="s">
        <v>31</v>
      </c>
      <c r="C6" s="4" t="s">
        <v>32</v>
      </c>
    </row>
    <row r="7" spans="1:3" x14ac:dyDescent="0.25">
      <c r="A7" s="4" t="s">
        <v>12</v>
      </c>
      <c r="B7" s="4" t="s">
        <v>33</v>
      </c>
      <c r="C7" s="4" t="s">
        <v>34</v>
      </c>
    </row>
    <row r="8" spans="1:3" x14ac:dyDescent="0.25">
      <c r="A8" s="4" t="s">
        <v>14</v>
      </c>
      <c r="B8" s="4" t="s">
        <v>35</v>
      </c>
      <c r="C8" s="4" t="s">
        <v>36</v>
      </c>
    </row>
    <row r="9" spans="1:3" x14ac:dyDescent="0.25">
      <c r="A9" s="4" t="s">
        <v>15</v>
      </c>
      <c r="B9" s="4" t="s">
        <v>37</v>
      </c>
      <c r="C9" s="4" t="s">
        <v>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96AA-E903-4E49-8EE7-2DF563672EF4}">
  <sheetPr codeName="Sheet11"/>
  <dimension ref="A1:D9"/>
  <sheetViews>
    <sheetView showGridLines="0" workbookViewId="0">
      <selection activeCell="K9" sqref="K9"/>
    </sheetView>
  </sheetViews>
  <sheetFormatPr defaultRowHeight="15" x14ac:dyDescent="0.25"/>
  <cols>
    <col min="1" max="1" width="11.140625" bestFit="1" customWidth="1"/>
  </cols>
  <sheetData>
    <row r="1" spans="1:4" x14ac:dyDescent="0.25">
      <c r="A1" t="s">
        <v>2</v>
      </c>
      <c r="B1" t="s">
        <v>3</v>
      </c>
      <c r="C1" t="s">
        <v>19</v>
      </c>
      <c r="D1" t="s">
        <v>18</v>
      </c>
    </row>
    <row r="2" spans="1:4" x14ac:dyDescent="0.25">
      <c r="A2" s="1" t="s">
        <v>0</v>
      </c>
      <c r="B2" s="1" t="s">
        <v>4</v>
      </c>
      <c r="D2">
        <v>1</v>
      </c>
    </row>
    <row r="3" spans="1:4" x14ac:dyDescent="0.25">
      <c r="A3" t="s">
        <v>1</v>
      </c>
      <c r="B3" t="s">
        <v>5</v>
      </c>
      <c r="D3">
        <v>1</v>
      </c>
    </row>
    <row r="4" spans="1:4" x14ac:dyDescent="0.25">
      <c r="A4" t="s">
        <v>6</v>
      </c>
      <c r="B4" t="s">
        <v>7</v>
      </c>
      <c r="D4">
        <v>1</v>
      </c>
    </row>
    <row r="5" spans="1:4" x14ac:dyDescent="0.25">
      <c r="A5" t="s">
        <v>8</v>
      </c>
      <c r="B5" t="s">
        <v>13</v>
      </c>
      <c r="D5">
        <v>1</v>
      </c>
    </row>
    <row r="6" spans="1:4" x14ac:dyDescent="0.25">
      <c r="A6" t="s">
        <v>9</v>
      </c>
      <c r="B6" t="s">
        <v>10</v>
      </c>
      <c r="D6">
        <v>1</v>
      </c>
    </row>
    <row r="7" spans="1:4" x14ac:dyDescent="0.25">
      <c r="A7" t="s">
        <v>11</v>
      </c>
      <c r="B7" t="s">
        <v>12</v>
      </c>
      <c r="D7">
        <v>1</v>
      </c>
    </row>
    <row r="8" spans="1:4" x14ac:dyDescent="0.25">
      <c r="A8" t="s">
        <v>17</v>
      </c>
      <c r="B8" t="s">
        <v>14</v>
      </c>
      <c r="D8">
        <v>0</v>
      </c>
    </row>
    <row r="9" spans="1:4" x14ac:dyDescent="0.25">
      <c r="A9" t="s">
        <v>16</v>
      </c>
      <c r="B9" t="s">
        <v>15</v>
      </c>
      <c r="D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ED18-9D5B-4FAE-9BAD-99DBF8245FFA}">
  <sheetPr codeName="Sheet12"/>
  <dimension ref="A1:M74"/>
  <sheetViews>
    <sheetView showGridLines="0" topLeftCell="A9" workbookViewId="0">
      <selection activeCell="D36" sqref="D36"/>
    </sheetView>
  </sheetViews>
  <sheetFormatPr defaultRowHeight="15" x14ac:dyDescent="0.25"/>
  <cols>
    <col min="1" max="1" width="12.28515625" customWidth="1"/>
    <col min="2" max="2" width="8.42578125" customWidth="1"/>
    <col min="4" max="4" width="8" customWidth="1"/>
    <col min="5" max="5" width="8.42578125" customWidth="1"/>
    <col min="6" max="6" width="12.5703125" customWidth="1"/>
    <col min="7" max="7" width="64.85546875" bestFit="1" customWidth="1"/>
    <col min="8" max="8" width="8.42578125" customWidth="1"/>
    <col min="9" max="9" width="44.28515625" bestFit="1" customWidth="1"/>
  </cols>
  <sheetData>
    <row r="1" spans="1:13" x14ac:dyDescent="0.25">
      <c r="A1" s="5" t="s">
        <v>322</v>
      </c>
      <c r="B1" s="5" t="s">
        <v>316</v>
      </c>
      <c r="C1" s="5" t="s">
        <v>2</v>
      </c>
      <c r="D1" s="5" t="s">
        <v>325</v>
      </c>
      <c r="E1" s="5" t="s">
        <v>323</v>
      </c>
      <c r="F1" s="5" t="s">
        <v>148</v>
      </c>
      <c r="G1" s="5" t="s">
        <v>101</v>
      </c>
      <c r="H1" s="5" t="s">
        <v>151</v>
      </c>
      <c r="I1" s="5" t="s">
        <v>19</v>
      </c>
    </row>
    <row r="2" spans="1:13" x14ac:dyDescent="0.25">
      <c r="A2" s="4" t="s">
        <v>39</v>
      </c>
      <c r="B2" s="4" t="s">
        <v>40</v>
      </c>
      <c r="C2" s="4" t="s">
        <v>4</v>
      </c>
      <c r="D2" s="4" t="s">
        <v>0</v>
      </c>
      <c r="E2" s="4" t="s">
        <v>138</v>
      </c>
      <c r="F2" s="4" t="s">
        <v>41</v>
      </c>
      <c r="G2" s="4" t="s">
        <v>24</v>
      </c>
      <c r="H2" s="4">
        <v>1</v>
      </c>
      <c r="I2" s="4" t="str">
        <f>IF(data_old[[#This Row],[description_override]]="",data_old[[#This Row],[Description_GPT]],data_old[[#This Row],[description_override]])</f>
        <v>S&amp;P 500</v>
      </c>
      <c r="L2" t="s">
        <v>333</v>
      </c>
      <c r="M2" cm="1">
        <f t="array" ref="M2:M74">_xlfn.XMATCH(_xlfn._TRO_ALL(L:L),gpt!C2:C61)</f>
        <v>40</v>
      </c>
    </row>
    <row r="3" spans="1:13" x14ac:dyDescent="0.25">
      <c r="A3" s="4" t="s">
        <v>39</v>
      </c>
      <c r="B3" s="4" t="s">
        <v>40</v>
      </c>
      <c r="C3" s="4" t="s">
        <v>5</v>
      </c>
      <c r="D3" s="4" t="s">
        <v>1</v>
      </c>
      <c r="E3" s="4" t="s">
        <v>139</v>
      </c>
      <c r="F3" s="4" t="s">
        <v>42</v>
      </c>
      <c r="G3" s="4" t="s">
        <v>26</v>
      </c>
      <c r="H3" s="4">
        <v>1</v>
      </c>
      <c r="I3" s="4" t="str">
        <f>IF(data_old[[#This Row],[description_override]]="",data_old[[#This Row],[Description_GPT]],data_old[[#This Row],[description_override]])</f>
        <v>Russell 2000</v>
      </c>
      <c r="L3" t="s">
        <v>334</v>
      </c>
      <c r="M3">
        <v>41</v>
      </c>
    </row>
    <row r="4" spans="1:13" x14ac:dyDescent="0.25">
      <c r="A4" s="4" t="s">
        <v>39</v>
      </c>
      <c r="B4" s="4" t="s">
        <v>40</v>
      </c>
      <c r="C4" s="4" t="s">
        <v>7</v>
      </c>
      <c r="D4" s="4" t="s">
        <v>6</v>
      </c>
      <c r="E4" s="4" t="s">
        <v>140</v>
      </c>
      <c r="F4" s="4" t="s">
        <v>43</v>
      </c>
      <c r="G4" s="4" t="s">
        <v>28</v>
      </c>
      <c r="H4" s="4">
        <v>1</v>
      </c>
      <c r="I4" s="4" t="str">
        <f>IF(data_old[[#This Row],[description_override]]="",data_old[[#This Row],[Description_GPT]],data_old[[#This Row],[description_override]])</f>
        <v>Nasdaq 100</v>
      </c>
      <c r="L4" t="s">
        <v>335</v>
      </c>
      <c r="M4">
        <v>50</v>
      </c>
    </row>
    <row r="5" spans="1:13" x14ac:dyDescent="0.25">
      <c r="A5" s="4" t="s">
        <v>39</v>
      </c>
      <c r="B5" s="4" t="s">
        <v>40</v>
      </c>
      <c r="C5" s="4" t="s">
        <v>44</v>
      </c>
      <c r="D5" s="4" t="s">
        <v>172</v>
      </c>
      <c r="E5" s="4" t="s">
        <v>154</v>
      </c>
      <c r="F5" s="4" t="s">
        <v>45</v>
      </c>
      <c r="G5" s="4" t="s">
        <v>102</v>
      </c>
      <c r="H5" s="4">
        <v>1</v>
      </c>
      <c r="I5" s="4" t="str">
        <f>IF(data_old[[#This Row],[description_override]]="",data_old[[#This Row],[Description_GPT]],data_old[[#This Row],[description_override]])</f>
        <v>Dow Jones 30</v>
      </c>
      <c r="L5" t="s">
        <v>336</v>
      </c>
      <c r="M5">
        <v>49</v>
      </c>
    </row>
    <row r="6" spans="1:13" x14ac:dyDescent="0.25">
      <c r="A6" s="4" t="s">
        <v>39</v>
      </c>
      <c r="B6" s="4" t="s">
        <v>68</v>
      </c>
      <c r="C6" s="4" t="s">
        <v>13</v>
      </c>
      <c r="D6" s="4" t="s">
        <v>8</v>
      </c>
      <c r="E6" s="4" t="s">
        <v>150</v>
      </c>
      <c r="F6" s="4" t="s">
        <v>149</v>
      </c>
      <c r="G6" s="4" t="s">
        <v>30</v>
      </c>
      <c r="H6" s="4">
        <v>1</v>
      </c>
      <c r="I6" s="4" t="str">
        <f>IF(data_old[[#This Row],[description_override]]="",data_old[[#This Row],[Description_GPT]],data_old[[#This Row],[description_override]])</f>
        <v>Eurostoxx 50</v>
      </c>
      <c r="J6" s="2"/>
      <c r="L6" t="s">
        <v>337</v>
      </c>
      <c r="M6">
        <v>57</v>
      </c>
    </row>
    <row r="7" spans="1:13" x14ac:dyDescent="0.25">
      <c r="A7" s="4" t="s">
        <v>39</v>
      </c>
      <c r="B7" s="4" t="s">
        <v>68</v>
      </c>
      <c r="C7" s="4" t="s">
        <v>156</v>
      </c>
      <c r="D7" s="4" t="s">
        <v>156</v>
      </c>
      <c r="E7" s="4" t="s">
        <v>155</v>
      </c>
      <c r="F7" s="4"/>
      <c r="G7" s="4"/>
      <c r="H7" s="4">
        <v>0</v>
      </c>
      <c r="I7" s="4" t="str">
        <f>IF(data_old[[#This Row],[description_override]]="",data_old[[#This Row],[Description_GPT]],data_old[[#This Row],[description_override]])</f>
        <v>Eurostoxx Banks</v>
      </c>
      <c r="J7" s="2"/>
      <c r="L7" t="s">
        <v>338</v>
      </c>
      <c r="M7">
        <v>35</v>
      </c>
    </row>
    <row r="8" spans="1:13" x14ac:dyDescent="0.25">
      <c r="A8" s="4" t="s">
        <v>39</v>
      </c>
      <c r="B8" s="4" t="s">
        <v>220</v>
      </c>
      <c r="C8" s="4" t="s">
        <v>86</v>
      </c>
      <c r="D8" s="4"/>
      <c r="E8" s="4"/>
      <c r="F8" s="4" t="s">
        <v>87</v>
      </c>
      <c r="G8" s="4" t="s">
        <v>119</v>
      </c>
      <c r="H8" s="4">
        <v>1</v>
      </c>
      <c r="I8" s="4" t="str">
        <f>IF(data_old[[#This Row],[description_override]]="",data_old[[#This Row],[Description_GPT]],data_old[[#This Row],[description_override]])</f>
        <v>iShares FTSE United Kingdom ETF</v>
      </c>
      <c r="L8" t="s">
        <v>339</v>
      </c>
      <c r="M8">
        <v>36</v>
      </c>
    </row>
    <row r="9" spans="1:13" x14ac:dyDescent="0.25">
      <c r="A9" s="4" t="s">
        <v>39</v>
      </c>
      <c r="B9" s="4" t="s">
        <v>68</v>
      </c>
      <c r="C9" s="4" t="s">
        <v>84</v>
      </c>
      <c r="D9" s="4" t="s">
        <v>84</v>
      </c>
      <c r="E9" s="4" t="s">
        <v>157</v>
      </c>
      <c r="F9" s="4" t="s">
        <v>85</v>
      </c>
      <c r="G9" s="4" t="s">
        <v>118</v>
      </c>
      <c r="H9" s="4">
        <v>1</v>
      </c>
      <c r="I9" s="4" t="str">
        <f>IF(data_old[[#This Row],[description_override]]="",data_old[[#This Row],[Description_GPT]],data_old[[#This Row],[description_override]])</f>
        <v>DAX (Germany)</v>
      </c>
      <c r="L9" t="s">
        <v>340</v>
      </c>
      <c r="M9">
        <v>37</v>
      </c>
    </row>
    <row r="10" spans="1:13" x14ac:dyDescent="0.25">
      <c r="A10" s="4" t="s">
        <v>39</v>
      </c>
      <c r="B10" s="4" t="s">
        <v>88</v>
      </c>
      <c r="C10" s="4" t="s">
        <v>89</v>
      </c>
      <c r="D10" s="4"/>
      <c r="E10" s="4"/>
      <c r="F10" s="4" t="s">
        <v>90</v>
      </c>
      <c r="G10" s="4" t="s">
        <v>120</v>
      </c>
      <c r="H10" s="4">
        <v>1</v>
      </c>
      <c r="I10" s="4" t="str">
        <f>IF(data_old[[#This Row],[description_override]]="",data_old[[#This Row],[Description_GPT]],data_old[[#This Row],[description_override]])</f>
        <v>iShares MSCI Canada ETF</v>
      </c>
      <c r="L10" t="s">
        <v>341</v>
      </c>
      <c r="M10">
        <v>38</v>
      </c>
    </row>
    <row r="11" spans="1:13" x14ac:dyDescent="0.25">
      <c r="A11" s="4" t="s">
        <v>39</v>
      </c>
      <c r="B11" s="4" t="s">
        <v>68</v>
      </c>
      <c r="C11" s="4" t="s">
        <v>327</v>
      </c>
      <c r="D11" s="4" t="s">
        <v>328</v>
      </c>
      <c r="E11" s="4" t="s">
        <v>332</v>
      </c>
      <c r="F11" s="4"/>
      <c r="G11" s="4"/>
      <c r="H11" s="4">
        <v>0</v>
      </c>
      <c r="I11" s="4" t="str">
        <f>IF(data_old[[#This Row],[description_override]]="",data_old[[#This Row],[Description_GPT]],data_old[[#This Row],[description_override]])</f>
        <v>FTSE MIB (Italy)</v>
      </c>
      <c r="L11" t="s">
        <v>350</v>
      </c>
      <c r="M11">
        <v>39</v>
      </c>
    </row>
    <row r="12" spans="1:13" x14ac:dyDescent="0.25">
      <c r="A12" s="4" t="s">
        <v>39</v>
      </c>
      <c r="B12" s="4" t="s">
        <v>68</v>
      </c>
      <c r="C12" s="4" t="s">
        <v>95</v>
      </c>
      <c r="D12" s="4" t="s">
        <v>95</v>
      </c>
      <c r="E12" s="4" t="s">
        <v>158</v>
      </c>
      <c r="F12" s="4" t="s">
        <v>96</v>
      </c>
      <c r="G12" s="4" t="s">
        <v>123</v>
      </c>
      <c r="H12" s="4">
        <v>1</v>
      </c>
      <c r="I12" s="4" t="str">
        <f>IF(data_old[[#This Row],[description_override]]="",data_old[[#This Row],[Description_GPT]],data_old[[#This Row],[description_override]])</f>
        <v>CAC 40 (France)</v>
      </c>
      <c r="L12" t="s">
        <v>351</v>
      </c>
      <c r="M12">
        <v>5</v>
      </c>
    </row>
    <row r="13" spans="1:13" x14ac:dyDescent="0.25">
      <c r="A13" s="4" t="s">
        <v>39</v>
      </c>
      <c r="B13" s="4" t="s">
        <v>68</v>
      </c>
      <c r="C13" s="4" t="s">
        <v>93</v>
      </c>
      <c r="D13" s="4"/>
      <c r="E13" s="4"/>
      <c r="F13" s="4" t="s">
        <v>94</v>
      </c>
      <c r="G13" s="4" t="s">
        <v>122</v>
      </c>
      <c r="H13" s="4">
        <v>1</v>
      </c>
      <c r="I13" s="4" t="str">
        <f>IF(data_old[[#This Row],[description_override]]="",data_old[[#This Row],[Description_GPT]],data_old[[#This Row],[description_override]])</f>
        <v>iShares MSCI Italy ETF</v>
      </c>
      <c r="L13" t="s">
        <v>352</v>
      </c>
      <c r="M13">
        <v>6</v>
      </c>
    </row>
    <row r="14" spans="1:13" x14ac:dyDescent="0.25">
      <c r="A14" s="4" t="s">
        <v>39</v>
      </c>
      <c r="B14" s="4" t="s">
        <v>68</v>
      </c>
      <c r="C14" s="4" t="s">
        <v>330</v>
      </c>
      <c r="D14" s="4" t="s">
        <v>329</v>
      </c>
      <c r="E14" s="4" t="s">
        <v>331</v>
      </c>
      <c r="F14" s="4" t="s">
        <v>92</v>
      </c>
      <c r="G14" s="4" t="s">
        <v>121</v>
      </c>
      <c r="H14" s="4">
        <v>0</v>
      </c>
      <c r="I14" s="4" t="str">
        <f>IF(data_old[[#This Row],[description_override]]="",data_old[[#This Row],[Description_GPT]],data_old[[#This Row],[description_override]])</f>
        <v>IBEX 35 (Spain)</v>
      </c>
      <c r="L14" t="s">
        <v>353</v>
      </c>
      <c r="M14">
        <v>7</v>
      </c>
    </row>
    <row r="15" spans="1:13" x14ac:dyDescent="0.25">
      <c r="A15" s="4" t="s">
        <v>39</v>
      </c>
      <c r="B15" s="4" t="s">
        <v>68</v>
      </c>
      <c r="C15" s="4" t="s">
        <v>91</v>
      </c>
      <c r="D15" s="4"/>
      <c r="E15" s="4"/>
      <c r="F15" s="4" t="s">
        <v>92</v>
      </c>
      <c r="G15" s="4" t="s">
        <v>121</v>
      </c>
      <c r="H15" s="4">
        <v>0</v>
      </c>
      <c r="I15" s="4" t="str">
        <f>IF(data_old[[#This Row],[description_override]]="",data_old[[#This Row],[Description_GPT]],data_old[[#This Row],[description_override]])</f>
        <v>iShares MSCI Spain ETF</v>
      </c>
      <c r="L15" t="s">
        <v>354</v>
      </c>
      <c r="M15">
        <v>32</v>
      </c>
    </row>
    <row r="16" spans="1:13" x14ac:dyDescent="0.25">
      <c r="A16" s="4" t="s">
        <v>39</v>
      </c>
      <c r="B16" s="4" t="s">
        <v>71</v>
      </c>
      <c r="C16" s="4" t="s">
        <v>324</v>
      </c>
      <c r="D16" s="4" t="s">
        <v>77</v>
      </c>
      <c r="E16" s="4" t="s">
        <v>141</v>
      </c>
      <c r="F16" s="4" t="s">
        <v>78</v>
      </c>
      <c r="G16" s="4" t="s">
        <v>115</v>
      </c>
      <c r="H16" s="4">
        <v>1</v>
      </c>
      <c r="I16" s="4" t="str">
        <f>IF(data_old[[#This Row],[description_override]]="",data_old[[#This Row],[Description_GPT]],data_old[[#This Row],[description_override]])</f>
        <v>Nikkei 225</v>
      </c>
      <c r="L16" t="s">
        <v>355</v>
      </c>
      <c r="M16">
        <v>33</v>
      </c>
    </row>
    <row r="17" spans="1:13" x14ac:dyDescent="0.25">
      <c r="A17" s="4" t="s">
        <v>39</v>
      </c>
      <c r="B17" s="4" t="s">
        <v>71</v>
      </c>
      <c r="C17" s="4" t="s">
        <v>142</v>
      </c>
      <c r="D17" s="4" t="s">
        <v>142</v>
      </c>
      <c r="E17" s="4" t="s">
        <v>145</v>
      </c>
      <c r="F17" s="4" t="s">
        <v>143</v>
      </c>
      <c r="G17" s="4" t="s">
        <v>144</v>
      </c>
      <c r="H17" s="4">
        <v>1</v>
      </c>
      <c r="I17" s="4" t="str">
        <f>IF(data_old[[#This Row],[description_override]]="",data_old[[#This Row],[Description_GPT]],data_old[[#This Row],[description_override]])</f>
        <v>TOPIX</v>
      </c>
      <c r="L17" t="s">
        <v>356</v>
      </c>
      <c r="M17">
        <v>31</v>
      </c>
    </row>
    <row r="18" spans="1:13" x14ac:dyDescent="0.25">
      <c r="A18" s="4" t="s">
        <v>39</v>
      </c>
      <c r="B18" s="4" t="s">
        <v>79</v>
      </c>
      <c r="C18" s="4" t="s">
        <v>80</v>
      </c>
      <c r="D18" s="4" t="s">
        <v>80</v>
      </c>
      <c r="E18" s="4"/>
      <c r="F18" s="4" t="s">
        <v>81</v>
      </c>
      <c r="G18" s="4" t="s">
        <v>116</v>
      </c>
      <c r="H18" s="4">
        <v>1</v>
      </c>
      <c r="I18" s="4" t="str">
        <f>IF(data_old[[#This Row],[description_override]]="",data_old[[#This Row],[Description_GPT]],data_old[[#This Row],[description_override]])</f>
        <v>iShares China Large-Cap ETF</v>
      </c>
      <c r="L18" t="s">
        <v>357</v>
      </c>
      <c r="M18">
        <v>34</v>
      </c>
    </row>
    <row r="19" spans="1:13" x14ac:dyDescent="0.25">
      <c r="A19" s="4" t="s">
        <v>39</v>
      </c>
      <c r="B19" s="4" t="s">
        <v>79</v>
      </c>
      <c r="C19" s="4" t="s">
        <v>82</v>
      </c>
      <c r="D19" s="4" t="s">
        <v>82</v>
      </c>
      <c r="E19" s="4"/>
      <c r="F19" s="4" t="s">
        <v>83</v>
      </c>
      <c r="G19" s="4" t="s">
        <v>117</v>
      </c>
      <c r="H19" s="4">
        <v>1</v>
      </c>
      <c r="I19" s="4" t="str">
        <f>IF(data_old[[#This Row],[description_override]]="",data_old[[#This Row],[Description_GPT]],data_old[[#This Row],[description_override]])</f>
        <v>Xtrackers Harvest CSI 300 China A-Shares ETF</v>
      </c>
      <c r="L19" t="s">
        <v>4</v>
      </c>
      <c r="M19">
        <v>1</v>
      </c>
    </row>
    <row r="20" spans="1:13" x14ac:dyDescent="0.25">
      <c r="A20" s="4" t="s">
        <v>46</v>
      </c>
      <c r="B20" s="4" t="s">
        <v>40</v>
      </c>
      <c r="C20" s="4" t="s">
        <v>10</v>
      </c>
      <c r="D20" s="4" t="s">
        <v>9</v>
      </c>
      <c r="E20" s="4"/>
      <c r="F20" s="4" t="s">
        <v>47</v>
      </c>
      <c r="G20" s="4" t="s">
        <v>103</v>
      </c>
      <c r="H20" s="4">
        <v>1</v>
      </c>
      <c r="I20" s="4" t="str">
        <f>IF(data_old[[#This Row],[description_override]]="",data_old[[#This Row],[Description_GPT]],data_old[[#This Row],[description_override]])</f>
        <v>iShares iBoxx $ Investment Grade Corporate Bond ETF</v>
      </c>
      <c r="L20" t="s">
        <v>5</v>
      </c>
      <c r="M20">
        <v>2</v>
      </c>
    </row>
    <row r="21" spans="1:13" x14ac:dyDescent="0.25">
      <c r="A21" s="4" t="s">
        <v>46</v>
      </c>
      <c r="B21" s="4" t="s">
        <v>40</v>
      </c>
      <c r="C21" s="4" t="s">
        <v>12</v>
      </c>
      <c r="D21" s="4" t="s">
        <v>11</v>
      </c>
      <c r="E21" s="4"/>
      <c r="F21" s="4" t="s">
        <v>48</v>
      </c>
      <c r="G21" s="4" t="s">
        <v>104</v>
      </c>
      <c r="H21" s="4">
        <v>1</v>
      </c>
      <c r="I21" s="4" t="str">
        <f>IF(data_old[[#This Row],[description_override]]="",data_old[[#This Row],[Description_GPT]],data_old[[#This Row],[description_override]])</f>
        <v>iShares iBoxx $ High Yield Corporate Bond ETF</v>
      </c>
      <c r="L21" t="s">
        <v>7</v>
      </c>
      <c r="M21">
        <v>3</v>
      </c>
    </row>
    <row r="22" spans="1:13" x14ac:dyDescent="0.25">
      <c r="A22" s="4" t="s">
        <v>46</v>
      </c>
      <c r="B22" s="4" t="s">
        <v>40</v>
      </c>
      <c r="C22" s="4" t="s">
        <v>347</v>
      </c>
      <c r="D22" s="4"/>
      <c r="E22" s="4"/>
      <c r="F22" s="4"/>
      <c r="G22" s="4"/>
      <c r="H22" s="4"/>
      <c r="I22" s="4">
        <f>IF(data_old[[#This Row],[description_override]]="",data_old[[#This Row],[Description_GPT]],data_old[[#This Row],[description_override]])</f>
        <v>0</v>
      </c>
      <c r="L22" t="s">
        <v>44</v>
      </c>
      <c r="M22">
        <v>4</v>
      </c>
    </row>
    <row r="23" spans="1:13" x14ac:dyDescent="0.25">
      <c r="A23" s="4" t="s">
        <v>46</v>
      </c>
      <c r="B23" s="4" t="s">
        <v>40</v>
      </c>
      <c r="C23" s="4" t="s">
        <v>348</v>
      </c>
      <c r="D23" s="4"/>
      <c r="E23" s="4"/>
      <c r="F23" s="4"/>
      <c r="G23" s="4"/>
      <c r="H23" s="4"/>
      <c r="I23" s="4">
        <f>IF(data_old[[#This Row],[description_override]]="",data_old[[#This Row],[Description_GPT]],data_old[[#This Row],[description_override]])</f>
        <v>0</v>
      </c>
      <c r="L23" t="s">
        <v>13</v>
      </c>
      <c r="M23">
        <v>20</v>
      </c>
    </row>
    <row r="24" spans="1:13" x14ac:dyDescent="0.25">
      <c r="A24" s="4" t="s">
        <v>128</v>
      </c>
      <c r="B24" s="4" t="s">
        <v>40</v>
      </c>
      <c r="C24" s="4" t="s">
        <v>51</v>
      </c>
      <c r="D24" s="4" t="s">
        <v>236</v>
      </c>
      <c r="E24" s="4"/>
      <c r="F24" s="4" t="s">
        <v>52</v>
      </c>
      <c r="G24" s="4" t="s">
        <v>129</v>
      </c>
      <c r="H24" s="4">
        <v>1</v>
      </c>
      <c r="I24" s="4" t="str">
        <f>IF(data_old[[#This Row],[description_override]]="",data_old[[#This Row],[Description_GPT]],data_old[[#This Row],[description_override]])</f>
        <v>iShares 1-3 Year Treasury Bond ETF</v>
      </c>
      <c r="L24" t="s">
        <v>156</v>
      </c>
      <c r="M24">
        <v>21</v>
      </c>
    </row>
    <row r="25" spans="1:13" x14ac:dyDescent="0.25">
      <c r="A25" s="4" t="s">
        <v>128</v>
      </c>
      <c r="B25" s="4" t="s">
        <v>40</v>
      </c>
      <c r="C25" s="4" t="s">
        <v>126</v>
      </c>
      <c r="D25" s="4" t="s">
        <v>237</v>
      </c>
      <c r="E25" s="4"/>
      <c r="F25" s="4" t="s">
        <v>127</v>
      </c>
      <c r="G25" s="4" t="s">
        <v>130</v>
      </c>
      <c r="H25" s="4">
        <v>1</v>
      </c>
      <c r="I25" s="4" t="str">
        <f>IF(data_old[[#This Row],[description_override]]="",data_old[[#This Row],[Description_GPT]],data_old[[#This Row],[description_override]])</f>
        <v>iShares 3-7 Year Treasury Bond ETF</v>
      </c>
      <c r="L25" t="s">
        <v>86</v>
      </c>
      <c r="M25">
        <v>22</v>
      </c>
    </row>
    <row r="26" spans="1:13" x14ac:dyDescent="0.25">
      <c r="A26" s="4" t="s">
        <v>128</v>
      </c>
      <c r="B26" s="4" t="s">
        <v>40</v>
      </c>
      <c r="C26" s="4" t="s">
        <v>131</v>
      </c>
      <c r="D26" s="4" t="s">
        <v>238</v>
      </c>
      <c r="E26" s="4"/>
      <c r="F26" s="4" t="s">
        <v>132</v>
      </c>
      <c r="G26" s="4" t="s">
        <v>133</v>
      </c>
      <c r="H26" s="4">
        <v>1</v>
      </c>
      <c r="I26" s="4" t="str">
        <f>IF(data_old[[#This Row],[description_override]]="",data_old[[#This Row],[Description_GPT]],data_old[[#This Row],[description_override]])</f>
        <v>iShares 7-10 Year Treasury Bond ETF</v>
      </c>
      <c r="L26" t="s">
        <v>84</v>
      </c>
      <c r="M26">
        <v>23</v>
      </c>
    </row>
    <row r="27" spans="1:13" x14ac:dyDescent="0.25">
      <c r="A27" s="4" t="s">
        <v>128</v>
      </c>
      <c r="B27" s="4" t="s">
        <v>40</v>
      </c>
      <c r="C27" s="4" t="s">
        <v>49</v>
      </c>
      <c r="D27" s="4" t="s">
        <v>240</v>
      </c>
      <c r="E27" s="4"/>
      <c r="F27" s="4" t="s">
        <v>50</v>
      </c>
      <c r="G27" s="4" t="s">
        <v>134</v>
      </c>
      <c r="H27" s="4">
        <v>1</v>
      </c>
      <c r="I27" s="4" t="str">
        <f>IF(data_old[[#This Row],[description_override]]="",data_old[[#This Row],[Description_GPT]],data_old[[#This Row],[description_override]])</f>
        <v>iShares 20+ Year Treasury Bond ETF</v>
      </c>
      <c r="L27" t="s">
        <v>89</v>
      </c>
      <c r="M27" t="e">
        <v>#N/A</v>
      </c>
    </row>
    <row r="28" spans="1:13" x14ac:dyDescent="0.25">
      <c r="A28" s="4" t="s">
        <v>128</v>
      </c>
      <c r="B28" s="4" t="s">
        <v>40</v>
      </c>
      <c r="C28" s="4" t="s">
        <v>135</v>
      </c>
      <c r="D28" s="4" t="s">
        <v>326</v>
      </c>
      <c r="E28" s="4"/>
      <c r="F28" s="4" t="s">
        <v>136</v>
      </c>
      <c r="G28" s="4" t="s">
        <v>137</v>
      </c>
      <c r="H28" s="4">
        <v>1</v>
      </c>
      <c r="I28" s="4" t="str">
        <f>IF(data_old[[#This Row],[description_override]]="",data_old[[#This Row],[Description_GPT]],data_old[[#This Row],[description_override]])</f>
        <v>iShares TIPS Bond ETF</v>
      </c>
      <c r="L28" t="s">
        <v>327</v>
      </c>
      <c r="M28">
        <v>24</v>
      </c>
    </row>
    <row r="29" spans="1:13" x14ac:dyDescent="0.25">
      <c r="A29" s="4" t="s">
        <v>128</v>
      </c>
      <c r="B29" s="4" t="s">
        <v>40</v>
      </c>
      <c r="C29" s="4" t="s">
        <v>344</v>
      </c>
      <c r="D29" s="4"/>
      <c r="E29" s="4"/>
      <c r="F29" s="4"/>
      <c r="G29" s="4"/>
      <c r="H29" s="4"/>
      <c r="I29" s="4"/>
      <c r="L29" t="s">
        <v>95</v>
      </c>
      <c r="M29">
        <v>25</v>
      </c>
    </row>
    <row r="30" spans="1:13" x14ac:dyDescent="0.25">
      <c r="A30" s="4" t="s">
        <v>128</v>
      </c>
      <c r="B30" s="4" t="s">
        <v>40</v>
      </c>
      <c r="C30" s="4" t="s">
        <v>53</v>
      </c>
      <c r="D30" s="4"/>
      <c r="E30" s="4"/>
      <c r="F30" s="4" t="s">
        <v>54</v>
      </c>
      <c r="G30" s="4" t="s">
        <v>105</v>
      </c>
      <c r="H30" s="4">
        <v>0</v>
      </c>
      <c r="I30" s="4" t="str">
        <f>IF(data_old[[#This Row],[description_override]]="",data_old[[#This Row],[Description_GPT]],data_old[[#This Row],[description_override]])</f>
        <v>iShares MBS ETF</v>
      </c>
      <c r="L30" t="s">
        <v>93</v>
      </c>
      <c r="M30">
        <v>26</v>
      </c>
    </row>
    <row r="31" spans="1:13" x14ac:dyDescent="0.25">
      <c r="A31" s="4" t="s">
        <v>128</v>
      </c>
      <c r="B31" s="4" t="s">
        <v>40</v>
      </c>
      <c r="C31" s="4" t="s">
        <v>14</v>
      </c>
      <c r="D31" s="4"/>
      <c r="E31" s="4"/>
      <c r="F31" t="s">
        <v>152</v>
      </c>
      <c r="G31" s="4" t="s">
        <v>153</v>
      </c>
      <c r="H31" s="4">
        <v>0</v>
      </c>
      <c r="I31" s="4" t="str">
        <f>IF(data_old[[#This Row],[description_override]]="",data_old[[#This Row],[Description_GPT]],data_old[[#This Row],[description_override]])</f>
        <v>Simplify Mortgage Backed Securities ETF</v>
      </c>
      <c r="L31" t="s">
        <v>330</v>
      </c>
      <c r="M31">
        <v>27</v>
      </c>
    </row>
    <row r="32" spans="1:13" x14ac:dyDescent="0.25">
      <c r="A32" s="4" t="s">
        <v>128</v>
      </c>
      <c r="B32" s="4" t="s">
        <v>40</v>
      </c>
      <c r="C32" s="4" t="s">
        <v>15</v>
      </c>
      <c r="D32" s="4"/>
      <c r="E32" s="4"/>
      <c r="F32" s="4" t="s">
        <v>55</v>
      </c>
      <c r="G32" s="4" t="s">
        <v>106</v>
      </c>
      <c r="H32" s="4">
        <v>1</v>
      </c>
      <c r="I32" s="4" t="str">
        <f>IF(data_old[[#This Row],[description_override]]="",data_old[[#This Row],[Description_GPT]],data_old[[#This Row],[description_override]])</f>
        <v>AGNC Investment Corp.</v>
      </c>
      <c r="L32" t="s">
        <v>91</v>
      </c>
      <c r="M32">
        <v>28</v>
      </c>
    </row>
    <row r="33" spans="1:13" x14ac:dyDescent="0.25">
      <c r="A33" s="4" t="s">
        <v>128</v>
      </c>
      <c r="B33" s="4" t="s">
        <v>40</v>
      </c>
      <c r="C33" s="4" t="s">
        <v>346</v>
      </c>
      <c r="D33" s="4"/>
      <c r="E33" s="4"/>
      <c r="F33" s="4"/>
      <c r="G33" s="4"/>
      <c r="H33" s="4"/>
      <c r="I33" s="4">
        <f>IF(data_old[[#This Row],[description_override]]="",data_old[[#This Row],[Description_GPT]],data_old[[#This Row],[description_override]])</f>
        <v>0</v>
      </c>
      <c r="L33" t="s">
        <v>324</v>
      </c>
      <c r="M33">
        <v>29</v>
      </c>
    </row>
    <row r="34" spans="1:13" x14ac:dyDescent="0.25">
      <c r="A34" s="4" t="s">
        <v>128</v>
      </c>
      <c r="B34" s="4" t="s">
        <v>40</v>
      </c>
      <c r="C34" s="4" t="s">
        <v>345</v>
      </c>
      <c r="D34" s="4" t="s">
        <v>345</v>
      </c>
      <c r="E34" s="4"/>
      <c r="F34" s="4"/>
      <c r="G34" s="4"/>
      <c r="H34" s="4"/>
      <c r="I34" s="4">
        <f>IF(data_old[[#This Row],[description_override]]="",data_old[[#This Row],[Description_GPT]],data_old[[#This Row],[description_override]])</f>
        <v>0</v>
      </c>
      <c r="L34" t="s">
        <v>142</v>
      </c>
      <c r="M34">
        <v>30</v>
      </c>
    </row>
    <row r="35" spans="1:13" x14ac:dyDescent="0.25">
      <c r="A35" s="4" t="s">
        <v>128</v>
      </c>
      <c r="B35" s="4" t="s">
        <v>74</v>
      </c>
      <c r="C35" s="4" t="s">
        <v>97</v>
      </c>
      <c r="D35" s="4"/>
      <c r="E35" s="4"/>
      <c r="F35" s="4" t="s">
        <v>98</v>
      </c>
      <c r="G35" s="4" t="s">
        <v>124</v>
      </c>
      <c r="H35" s="4">
        <v>1</v>
      </c>
      <c r="I35" s="4" t="str">
        <f>IF(data_old[[#This Row],[description_override]]="",data_old[[#This Row],[Description_GPT]],data_old[[#This Row],[description_override]])</f>
        <v>iShares J.P. Morgan USD Emerging Markets Bond ETF</v>
      </c>
      <c r="L35" t="s">
        <v>80</v>
      </c>
      <c r="M35">
        <v>31</v>
      </c>
    </row>
    <row r="36" spans="1:13" x14ac:dyDescent="0.25">
      <c r="A36" s="4" t="s">
        <v>128</v>
      </c>
      <c r="B36" s="4" t="s">
        <v>74</v>
      </c>
      <c r="C36" s="4" t="s">
        <v>349</v>
      </c>
      <c r="D36" s="4"/>
      <c r="E36" s="4"/>
      <c r="F36" s="4"/>
      <c r="G36" s="4"/>
      <c r="H36" s="4"/>
      <c r="I36" s="4">
        <f>IF(data_old[[#This Row],[description_override]]="",data_old[[#This Row],[Description_GPT]],data_old[[#This Row],[description_override]])</f>
        <v>0</v>
      </c>
      <c r="L36" t="s">
        <v>82</v>
      </c>
      <c r="M36">
        <v>32</v>
      </c>
    </row>
    <row r="37" spans="1:13" x14ac:dyDescent="0.25">
      <c r="A37" s="4" t="s">
        <v>128</v>
      </c>
      <c r="B37" t="s">
        <v>74</v>
      </c>
      <c r="C37" t="s">
        <v>75</v>
      </c>
      <c r="F37" t="s">
        <v>76</v>
      </c>
      <c r="G37" t="s">
        <v>114</v>
      </c>
      <c r="H37" s="4">
        <v>0</v>
      </c>
      <c r="I37" s="4" t="str">
        <f>IF(data_old[[#This Row],[description_override]]="",data_old[[#This Row],[Description_GPT]],data_old[[#This Row],[description_override]])</f>
        <v>WisdomTree Emerging Markets Local Debt Fund</v>
      </c>
      <c r="L37" t="s">
        <v>10</v>
      </c>
      <c r="M37">
        <v>35</v>
      </c>
    </row>
    <row r="38" spans="1:13" x14ac:dyDescent="0.25">
      <c r="A38" s="4" t="s">
        <v>128</v>
      </c>
      <c r="B38" s="4" t="s">
        <v>74</v>
      </c>
      <c r="C38" s="4" t="s">
        <v>99</v>
      </c>
      <c r="D38" s="4"/>
      <c r="E38" s="4"/>
      <c r="F38" s="4" t="s">
        <v>100</v>
      </c>
      <c r="G38" s="4" t="s">
        <v>125</v>
      </c>
      <c r="H38" s="4">
        <v>0</v>
      </c>
      <c r="I38" s="4" t="str">
        <f>IF(data_old[[#This Row],[description_override]]="",data_old[[#This Row],[Description_GPT]],data_old[[#This Row],[description_override]])</f>
        <v>iShares International Government Bonds ETF</v>
      </c>
      <c r="L38" t="s">
        <v>12</v>
      </c>
      <c r="M38">
        <v>37</v>
      </c>
    </row>
    <row r="39" spans="1:13" x14ac:dyDescent="0.25">
      <c r="A39" s="4" t="s">
        <v>56</v>
      </c>
      <c r="B39" s="4" t="s">
        <v>40</v>
      </c>
      <c r="C39" s="4" t="s">
        <v>57</v>
      </c>
      <c r="D39" s="4"/>
      <c r="E39" s="4"/>
      <c r="F39" s="4" t="s">
        <v>58</v>
      </c>
      <c r="G39" s="4" t="s">
        <v>107</v>
      </c>
      <c r="H39" s="4">
        <v>1</v>
      </c>
      <c r="I39" s="4" t="str">
        <f>IF(data_old[[#This Row],[description_override]]="",data_old[[#This Row],[Description_GPT]],data_old[[#This Row],[description_override]])</f>
        <v>SPDR Gold Shares</v>
      </c>
      <c r="L39" t="s">
        <v>347</v>
      </c>
      <c r="M39">
        <v>36</v>
      </c>
    </row>
    <row r="40" spans="1:13" x14ac:dyDescent="0.25">
      <c r="A40" s="4" t="s">
        <v>56</v>
      </c>
      <c r="B40" s="4" t="s">
        <v>40</v>
      </c>
      <c r="C40" s="4" t="s">
        <v>59</v>
      </c>
      <c r="D40" s="4"/>
      <c r="E40" s="4"/>
      <c r="F40" s="4" t="s">
        <v>60</v>
      </c>
      <c r="G40" s="4" t="s">
        <v>108</v>
      </c>
      <c r="H40" s="4">
        <v>1</v>
      </c>
      <c r="I40" s="4" t="str">
        <f>IF(data_old[[#This Row],[description_override]]="",data_old[[#This Row],[Description_GPT]],data_old[[#This Row],[description_override]])</f>
        <v>iShares Silver Trust</v>
      </c>
      <c r="L40" t="s">
        <v>348</v>
      </c>
      <c r="M40">
        <v>38</v>
      </c>
    </row>
    <row r="41" spans="1:13" x14ac:dyDescent="0.25">
      <c r="A41" s="4" t="s">
        <v>56</v>
      </c>
      <c r="B41" s="4" t="s">
        <v>40</v>
      </c>
      <c r="C41" s="4" t="s">
        <v>61</v>
      </c>
      <c r="D41" s="4"/>
      <c r="E41" s="4"/>
      <c r="F41" s="4" t="s">
        <v>62</v>
      </c>
      <c r="G41" s="4" t="s">
        <v>109</v>
      </c>
      <c r="H41" s="4">
        <v>1</v>
      </c>
      <c r="I41" s="4" t="str">
        <f>IF(data_old[[#This Row],[description_override]]="",data_old[[#This Row],[Description_GPT]],data_old[[#This Row],[description_override]])</f>
        <v>United States Oil Fund</v>
      </c>
      <c r="L41" t="s">
        <v>51</v>
      </c>
      <c r="M41">
        <v>42</v>
      </c>
    </row>
    <row r="42" spans="1:13" x14ac:dyDescent="0.25">
      <c r="A42" s="4" t="s">
        <v>56</v>
      </c>
      <c r="B42" s="4" t="s">
        <v>40</v>
      </c>
      <c r="C42" s="4" t="s">
        <v>63</v>
      </c>
      <c r="D42" s="4"/>
      <c r="E42" s="4"/>
      <c r="F42" s="4" t="s">
        <v>64</v>
      </c>
      <c r="G42" s="4" t="s">
        <v>110</v>
      </c>
      <c r="H42" s="4">
        <v>1</v>
      </c>
      <c r="I42" s="4" t="str">
        <f>IF(data_old[[#This Row],[description_override]]="",data_old[[#This Row],[Description_GPT]],data_old[[#This Row],[description_override]])</f>
        <v>Invesco DB Commodity Index Tracking Fund</v>
      </c>
      <c r="L42" t="s">
        <v>126</v>
      </c>
      <c r="M42">
        <v>43</v>
      </c>
    </row>
    <row r="43" spans="1:13" x14ac:dyDescent="0.25">
      <c r="A43" s="4" t="s">
        <v>65</v>
      </c>
      <c r="B43" s="4" t="s">
        <v>40</v>
      </c>
      <c r="C43" s="4" t="s">
        <v>66</v>
      </c>
      <c r="D43" s="4"/>
      <c r="E43" s="4"/>
      <c r="F43" s="4" t="s">
        <v>67</v>
      </c>
      <c r="G43" s="4" t="s">
        <v>111</v>
      </c>
      <c r="H43" s="4">
        <v>1</v>
      </c>
      <c r="I43" s="4" t="str">
        <f>IF(data_old[[#This Row],[description_override]]="",data_old[[#This Row],[Description_GPT]],data_old[[#This Row],[description_override]])</f>
        <v>Invesco DB US Dollar Index Bullish Fund</v>
      </c>
      <c r="L43" t="s">
        <v>131</v>
      </c>
      <c r="M43">
        <v>44</v>
      </c>
    </row>
    <row r="44" spans="1:13" x14ac:dyDescent="0.25">
      <c r="A44" s="4" t="s">
        <v>65</v>
      </c>
      <c r="B44" s="4" t="s">
        <v>68</v>
      </c>
      <c r="C44" s="4" t="s">
        <v>69</v>
      </c>
      <c r="D44" s="4"/>
      <c r="E44" s="4"/>
      <c r="F44" s="4" t="s">
        <v>70</v>
      </c>
      <c r="G44" s="4" t="s">
        <v>112</v>
      </c>
      <c r="H44" s="4">
        <v>1</v>
      </c>
      <c r="I44" s="4" t="str">
        <f>IF(data_old[[#This Row],[description_override]]="",data_old[[#This Row],[Description_GPT]],data_old[[#This Row],[description_override]])</f>
        <v>Invesco CurrencyShares Euro Trust</v>
      </c>
      <c r="L44" t="s">
        <v>49</v>
      </c>
      <c r="M44">
        <v>45</v>
      </c>
    </row>
    <row r="45" spans="1:13" x14ac:dyDescent="0.25">
      <c r="A45" t="s">
        <v>65</v>
      </c>
      <c r="B45" t="s">
        <v>71</v>
      </c>
      <c r="C45" t="s">
        <v>72</v>
      </c>
      <c r="F45" t="s">
        <v>73</v>
      </c>
      <c r="G45" t="s">
        <v>113</v>
      </c>
      <c r="H45" s="4">
        <v>1</v>
      </c>
      <c r="I45" s="4" t="str">
        <f>IF(data_old[[#This Row],[description_override]]="",data_old[[#This Row],[Description_GPT]],data_old[[#This Row],[description_override]])</f>
        <v>Invesco CurrencyShares Japanese Yen Trust</v>
      </c>
      <c r="L45" t="s">
        <v>135</v>
      </c>
      <c r="M45">
        <v>40</v>
      </c>
    </row>
    <row r="46" spans="1:13" x14ac:dyDescent="0.25">
      <c r="L46" t="s">
        <v>344</v>
      </c>
      <c r="M46">
        <v>41</v>
      </c>
    </row>
    <row r="47" spans="1:13" x14ac:dyDescent="0.25">
      <c r="C47" t="s">
        <v>343</v>
      </c>
      <c r="L47" t="s">
        <v>53</v>
      </c>
      <c r="M47">
        <v>46</v>
      </c>
    </row>
    <row r="48" spans="1:13" x14ac:dyDescent="0.25">
      <c r="L48" t="s">
        <v>14</v>
      </c>
      <c r="M48">
        <v>47</v>
      </c>
    </row>
    <row r="49" spans="3:13" x14ac:dyDescent="0.25">
      <c r="C49" t="s">
        <v>333</v>
      </c>
      <c r="D49" cm="1">
        <f t="array" ref="D49:D57">_xlfn.XMATCH(C49:C57,data_old[factor_name])</f>
        <v>27</v>
      </c>
      <c r="F49" t="e" cm="1" vm="2">
        <f t="array" ref="F49">_xlfn.TEXTJOIN(", ",,_xlfn._xlws.FILTER(C49:C57,ISERROR(_xlfn.ANCHORARRAY(D49))))</f>
        <v>#VALUE!</v>
      </c>
      <c r="L49" t="s">
        <v>15</v>
      </c>
      <c r="M49">
        <v>48</v>
      </c>
    </row>
    <row r="50" spans="3:13" x14ac:dyDescent="0.25">
      <c r="C50" t="s">
        <v>334</v>
      </c>
      <c r="D50">
        <v>28</v>
      </c>
      <c r="L50" t="s">
        <v>346</v>
      </c>
      <c r="M50">
        <v>49</v>
      </c>
    </row>
    <row r="51" spans="3:13" x14ac:dyDescent="0.25">
      <c r="C51" t="s">
        <v>335</v>
      </c>
      <c r="D51">
        <v>33</v>
      </c>
      <c r="L51" t="s">
        <v>345</v>
      </c>
      <c r="M51">
        <v>50</v>
      </c>
    </row>
    <row r="52" spans="3:13" x14ac:dyDescent="0.25">
      <c r="C52" t="s">
        <v>336</v>
      </c>
      <c r="D52">
        <v>32</v>
      </c>
      <c r="F52" t="s">
        <v>173</v>
      </c>
      <c r="L52" t="s">
        <v>97</v>
      </c>
      <c r="M52">
        <v>51</v>
      </c>
    </row>
    <row r="53" spans="3:13" x14ac:dyDescent="0.25">
      <c r="C53" t="s">
        <v>337</v>
      </c>
      <c r="D53">
        <v>38</v>
      </c>
      <c r="F53" t="s">
        <v>174</v>
      </c>
      <c r="L53" t="s">
        <v>349</v>
      </c>
      <c r="M53">
        <v>39</v>
      </c>
    </row>
    <row r="54" spans="3:13" x14ac:dyDescent="0.25">
      <c r="C54" t="s">
        <v>338</v>
      </c>
      <c r="D54">
        <v>19</v>
      </c>
      <c r="F54" t="s">
        <v>175</v>
      </c>
      <c r="L54" t="s">
        <v>75</v>
      </c>
      <c r="M54">
        <v>56</v>
      </c>
    </row>
    <row r="55" spans="3:13" x14ac:dyDescent="0.25">
      <c r="C55" t="s">
        <v>339</v>
      </c>
      <c r="D55">
        <v>21</v>
      </c>
      <c r="F55" t="s">
        <v>176</v>
      </c>
      <c r="L55" t="s">
        <v>99</v>
      </c>
      <c r="M55">
        <v>52</v>
      </c>
    </row>
    <row r="56" spans="3:13" x14ac:dyDescent="0.25">
      <c r="C56" t="s">
        <v>340</v>
      </c>
      <c r="D56">
        <v>20</v>
      </c>
      <c r="F56" t="s">
        <v>177</v>
      </c>
      <c r="L56" t="s">
        <v>57</v>
      </c>
      <c r="M56">
        <v>57</v>
      </c>
    </row>
    <row r="57" spans="3:13" x14ac:dyDescent="0.25">
      <c r="C57" t="s">
        <v>341</v>
      </c>
      <c r="D57">
        <v>22</v>
      </c>
      <c r="F57" t="s">
        <v>342</v>
      </c>
      <c r="J57" t="s">
        <v>333</v>
      </c>
      <c r="L57" t="s">
        <v>59</v>
      </c>
      <c r="M57">
        <v>58</v>
      </c>
    </row>
    <row r="58" spans="3:13" x14ac:dyDescent="0.25">
      <c r="F58" t="s">
        <v>178</v>
      </c>
      <c r="J58" t="s">
        <v>334</v>
      </c>
      <c r="L58" t="s">
        <v>61</v>
      </c>
      <c r="M58">
        <v>59</v>
      </c>
    </row>
    <row r="59" spans="3:13" x14ac:dyDescent="0.25">
      <c r="F59" t="s">
        <v>179</v>
      </c>
      <c r="J59" t="s">
        <v>335</v>
      </c>
      <c r="L59" t="s">
        <v>63</v>
      </c>
      <c r="M59">
        <v>60</v>
      </c>
    </row>
    <row r="60" spans="3:13" x14ac:dyDescent="0.25">
      <c r="C60" t="str" cm="1">
        <f t="array" ref="C60:C67">_xlfn.TEXTSPLIT(C47,," ")</f>
        <v>Emhy</v>
      </c>
      <c r="D60" cm="1">
        <f t="array" ref="D60:D67">_xlfn.XMATCH(_xlfn.ANCHORARRAY(C60),data_old[factor_name])</f>
        <v>35</v>
      </c>
      <c r="F60" t="s">
        <v>180</v>
      </c>
      <c r="J60" t="s">
        <v>336</v>
      </c>
      <c r="L60" t="s">
        <v>66</v>
      </c>
      <c r="M60">
        <v>53</v>
      </c>
    </row>
    <row r="61" spans="3:13" x14ac:dyDescent="0.25">
      <c r="C61" t="str">
        <v>mdy</v>
      </c>
      <c r="D61" t="e">
        <v>#N/A</v>
      </c>
      <c r="F61" t="s">
        <v>181</v>
      </c>
      <c r="J61" t="s">
        <v>337</v>
      </c>
      <c r="L61" t="s">
        <v>69</v>
      </c>
      <c r="M61">
        <v>54</v>
      </c>
    </row>
    <row r="62" spans="3:13" x14ac:dyDescent="0.25">
      <c r="C62" t="str">
        <v>vnq</v>
      </c>
      <c r="D62" t="e">
        <v>#N/A</v>
      </c>
      <c r="F62" t="s">
        <v>182</v>
      </c>
      <c r="J62" t="s">
        <v>338</v>
      </c>
      <c r="L62" t="s">
        <v>72</v>
      </c>
      <c r="M62">
        <v>55</v>
      </c>
    </row>
    <row r="63" spans="3:13" x14ac:dyDescent="0.25">
      <c r="C63" t="str">
        <v>pff</v>
      </c>
      <c r="D63" t="e">
        <v>#N/A</v>
      </c>
      <c r="F63" t="s">
        <v>285</v>
      </c>
      <c r="J63" t="s">
        <v>339</v>
      </c>
      <c r="L63" t="s">
        <v>173</v>
      </c>
      <c r="M63">
        <v>8</v>
      </c>
    </row>
    <row r="64" spans="3:13" x14ac:dyDescent="0.25">
      <c r="C64" t="str">
        <v>ashr</v>
      </c>
      <c r="D64">
        <v>18</v>
      </c>
      <c r="J64" t="s">
        <v>340</v>
      </c>
      <c r="L64" t="s">
        <v>174</v>
      </c>
      <c r="M64">
        <v>9</v>
      </c>
    </row>
    <row r="65" spans="3:13" x14ac:dyDescent="0.25">
      <c r="C65" t="str">
        <v>kweb</v>
      </c>
      <c r="D65" t="e">
        <v>#N/A</v>
      </c>
      <c r="J65" t="s">
        <v>341</v>
      </c>
      <c r="L65" t="s">
        <v>175</v>
      </c>
      <c r="M65">
        <v>10</v>
      </c>
    </row>
    <row r="66" spans="3:13" x14ac:dyDescent="0.25">
      <c r="C66" t="str">
        <v>fxi</v>
      </c>
      <c r="D66">
        <v>17</v>
      </c>
      <c r="J66" t="s">
        <v>350</v>
      </c>
      <c r="L66" t="s">
        <v>176</v>
      </c>
      <c r="M66">
        <v>11</v>
      </c>
    </row>
    <row r="67" spans="3:13" x14ac:dyDescent="0.25">
      <c r="C67" t="str">
        <v>aiq</v>
      </c>
      <c r="D67" t="e">
        <v>#N/A</v>
      </c>
      <c r="J67" t="s">
        <v>351</v>
      </c>
      <c r="L67" t="s">
        <v>177</v>
      </c>
      <c r="M67">
        <v>12</v>
      </c>
    </row>
    <row r="68" spans="3:13" x14ac:dyDescent="0.25">
      <c r="J68" t="s">
        <v>352</v>
      </c>
      <c r="L68" t="s">
        <v>342</v>
      </c>
      <c r="M68">
        <v>13</v>
      </c>
    </row>
    <row r="69" spans="3:13" x14ac:dyDescent="0.25">
      <c r="J69" t="s">
        <v>353</v>
      </c>
      <c r="L69" t="s">
        <v>178</v>
      </c>
      <c r="M69">
        <v>14</v>
      </c>
    </row>
    <row r="70" spans="3:13" x14ac:dyDescent="0.25">
      <c r="J70" t="s">
        <v>354</v>
      </c>
      <c r="L70" t="s">
        <v>179</v>
      </c>
      <c r="M70">
        <v>15</v>
      </c>
    </row>
    <row r="71" spans="3:13" x14ac:dyDescent="0.25">
      <c r="J71" t="s">
        <v>355</v>
      </c>
      <c r="L71" t="s">
        <v>180</v>
      </c>
      <c r="M71">
        <v>16</v>
      </c>
    </row>
    <row r="72" spans="3:13" x14ac:dyDescent="0.25">
      <c r="J72" t="s">
        <v>356</v>
      </c>
      <c r="L72" t="s">
        <v>181</v>
      </c>
      <c r="M72">
        <v>17</v>
      </c>
    </row>
    <row r="73" spans="3:13" x14ac:dyDescent="0.25">
      <c r="J73" t="s">
        <v>357</v>
      </c>
      <c r="L73" t="s">
        <v>182</v>
      </c>
      <c r="M73">
        <v>18</v>
      </c>
    </row>
    <row r="74" spans="3:13" x14ac:dyDescent="0.25">
      <c r="L74" t="s">
        <v>285</v>
      </c>
      <c r="M74">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legacy</vt:lpstr>
      <vt:lpstr>gpt</vt:lpstr>
      <vt:lpstr>data_new</vt:lpstr>
      <vt:lpstr>lior</vt:lpstr>
      <vt:lpstr>read_composites</vt:lpstr>
      <vt:lpstr>risk_parity</vt:lpstr>
      <vt:lpstr>tradewar</vt:lpstr>
      <vt:lpstr>tracking</vt:lpstr>
      <vt:lpstr>yf_desc</vt:lpstr>
      <vt:lpstr>election_fact</vt:lpstr>
      <vt:lpstr>composites</vt:lpstr>
      <vt:lpstr>data</vt:lpstr>
      <vt:lpstr>read_new</vt:lpstr>
      <vt:lpstr>read_tcw</vt:lpstr>
      <vt:lpstr>read_nocomposite</vt:lpstr>
      <vt:lpstr>read</vt:lpstr>
      <vt:lpstr>read_short</vt:lpstr>
      <vt:lpstr>read_old2</vt:lpstr>
      <vt:lpstr>Sheet1</vt:lpstr>
      <vt:lpstr>read_old</vt:lpstr>
      <vt:lpstr>data_old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Kraines</dc:creator>
  <cp:lastModifiedBy>Ben Kraines</cp:lastModifiedBy>
  <cp:lastPrinted>2025-06-23T15:31:38Z</cp:lastPrinted>
  <dcterms:created xsi:type="dcterms:W3CDTF">2024-10-16T14:15:12Z</dcterms:created>
  <dcterms:modified xsi:type="dcterms:W3CDTF">2026-06-15T01:06:49Z</dcterms:modified>
</cp:coreProperties>
</file>