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218A1016-A3C6-4B52-9D86-674CA51357C0}" xr6:coauthVersionLast="47" xr6:coauthVersionMax="47" xr10:uidLastSave="{00000000-0000-0000-0000-000000000000}"/>
  <bookViews>
    <workbookView xWindow="-120" yWindow="-120" windowWidth="29040" windowHeight="17520" firstSheet="11" activeTab="11" xr2:uid="{C31FDC5B-A809-4BFD-99CB-DA02246721F7}"/>
  </bookViews>
  <sheets>
    <sheet name="legacy" sheetId="5" r:id="rId1"/>
    <sheet name="gpt" sheetId="6" r:id="rId2"/>
    <sheet name="data_new" sheetId="7" r:id="rId3"/>
    <sheet name="lior" sheetId="9" r:id="rId4"/>
    <sheet name="read_composites" sheetId="14" r:id="rId5"/>
    <sheet name="risk_parity" sheetId="20" r:id="rId6"/>
    <sheet name="tradewar" sheetId="23" r:id="rId7"/>
    <sheet name="tracking" sheetId="21" r:id="rId8"/>
    <sheet name="yf_desc" sheetId="24" r:id="rId9"/>
    <sheet name="election_fact" sheetId="25" r:id="rId10"/>
    <sheet name="composites" sheetId="13" r:id="rId11"/>
    <sheet name="data" sheetId="3" r:id="rId12"/>
    <sheet name="read_new" sheetId="15" r:id="rId13"/>
    <sheet name="read_tcw" sheetId="17" r:id="rId14"/>
    <sheet name="read_nocomposite" sheetId="19" r:id="rId15"/>
    <sheet name="read" sheetId="12" r:id="rId16"/>
    <sheet name="read_short" sheetId="16" r:id="rId17"/>
    <sheet name="read_old2" sheetId="4" r:id="rId18"/>
    <sheet name="Sheet1" sheetId="2" r:id="rId19"/>
    <sheet name="read_old" sheetId="1" r:id="rId20"/>
    <sheet name="data_old" sheetId="8"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a="1"/>
  <c r="F30" i="3" a="1"/>
  <c r="F31" i="3" a="1"/>
  <c r="O29" i="3"/>
  <c r="O30" i="3"/>
  <c r="O31" i="3"/>
  <c r="P29" i="3" a="1"/>
  <c r="P30" i="3" a="1"/>
  <c r="P31" i="3" a="1"/>
  <c r="Q29" i="3"/>
  <c r="Q30" i="3"/>
  <c r="Q31" i="3"/>
  <c r="R29" i="3"/>
  <c r="R30" i="3"/>
  <c r="R31" i="3"/>
  <c r="S29" i="3"/>
  <c r="S30" i="3"/>
  <c r="S31" i="3"/>
  <c r="E2" i="13" a="1"/>
  <c r="I2" i="13" a="1"/>
  <c r="X2" i="13" a="1"/>
  <c r="P7" i="25" a="1"/>
  <c r="O7" i="25"/>
  <c r="F7" i="25" a="1"/>
  <c r="F99" i="3" a="1"/>
  <c r="O99" i="3"/>
  <c r="Q99" i="3" s="1"/>
  <c r="R99" i="3"/>
  <c r="S99" i="3"/>
  <c r="F27" i="3" a="1"/>
  <c r="O27" i="3"/>
  <c r="P27" i="3" a="1"/>
  <c r="Q27" i="3"/>
  <c r="R27" i="3"/>
  <c r="S27" i="3"/>
  <c r="F103" i="3" a="1"/>
  <c r="F104" i="3" a="1"/>
  <c r="F105" i="3" a="1"/>
  <c r="O103" i="3"/>
  <c r="O104" i="3"/>
  <c r="O105" i="3"/>
  <c r="Q103" i="3"/>
  <c r="Q104" i="3"/>
  <c r="Q105" i="3"/>
  <c r="R103" i="3"/>
  <c r="R104" i="3"/>
  <c r="R105" i="3"/>
  <c r="S103" i="3"/>
  <c r="S104" i="3"/>
  <c r="S105" i="3"/>
  <c r="F25" i="3" a="1"/>
  <c r="F26" i="3" a="1"/>
  <c r="O25" i="3"/>
  <c r="O26" i="3"/>
  <c r="P25" i="3" a="1"/>
  <c r="P26" i="3" a="1"/>
  <c r="Q25" i="3"/>
  <c r="Q26" i="3"/>
  <c r="R25" i="3"/>
  <c r="R26" i="3"/>
  <c r="S25" i="3"/>
  <c r="S26" i="3"/>
  <c r="F21" i="3" a="1"/>
  <c r="F22" i="3" a="1"/>
  <c r="O21" i="3"/>
  <c r="O22" i="3"/>
  <c r="P21" i="3" a="1"/>
  <c r="P22" i="3" a="1"/>
  <c r="Q21" i="3"/>
  <c r="Q22" i="3"/>
  <c r="R21" i="3"/>
  <c r="R22" i="3"/>
  <c r="S21" i="3"/>
  <c r="S22" i="3"/>
  <c r="F77" i="3" a="1"/>
  <c r="O77" i="3"/>
  <c r="P77" i="3" a="1"/>
  <c r="Q77" i="3"/>
  <c r="F78" i="3" a="1"/>
  <c r="O78" i="3"/>
  <c r="P78" i="3" a="1"/>
  <c r="F79" i="3" a="1"/>
  <c r="O79" i="3"/>
  <c r="P79" i="3" a="1"/>
  <c r="F74" i="3" a="1"/>
  <c r="F75" i="3" a="1"/>
  <c r="O74" i="3"/>
  <c r="S74" i="3" s="1"/>
  <c r="O75" i="3"/>
  <c r="P74" i="3" a="1"/>
  <c r="P75" i="3" a="1"/>
  <c r="Q74" i="3"/>
  <c r="Q75" i="3"/>
  <c r="R74" i="3"/>
  <c r="F53" i="3" a="1"/>
  <c r="O53" i="3"/>
  <c r="P53" i="3" a="1"/>
  <c r="Q53" i="3"/>
  <c r="R53" i="3"/>
  <c r="S53" i="3"/>
  <c r="F86" i="3" a="1"/>
  <c r="O86" i="3"/>
  <c r="P86" i="3" a="1"/>
  <c r="Q86" i="3"/>
  <c r="R86" i="3"/>
  <c r="S86" i="3"/>
  <c r="F84" i="3" a="1"/>
  <c r="O84" i="3"/>
  <c r="S84" i="3" s="1"/>
  <c r="P84" i="3" a="1"/>
  <c r="Q84" i="3"/>
  <c r="R84" i="3"/>
  <c r="F85" i="3" a="1"/>
  <c r="O85" i="3"/>
  <c r="P85" i="3" a="1"/>
  <c r="Q85" i="3"/>
  <c r="R85" i="3"/>
  <c r="S85" i="3"/>
  <c r="P98" i="3" a="1"/>
  <c r="F98" i="3" a="1"/>
  <c r="O98" i="3"/>
  <c r="P110" i="3" a="1"/>
  <c r="F110" i="3" a="1"/>
  <c r="Q110" i="3"/>
  <c r="R110" i="3"/>
  <c r="S110" i="3"/>
  <c r="P109" i="3" a="1"/>
  <c r="F109" i="3" a="1"/>
  <c r="Q109" i="3"/>
  <c r="R109" i="3"/>
  <c r="S109" i="3"/>
  <c r="S108" i="3"/>
  <c r="R108" i="3"/>
  <c r="Q108" i="3"/>
  <c r="P108" i="3" a="1"/>
  <c r="H57" i="3"/>
  <c r="P57" i="3" s="1" a="1"/>
  <c r="H58" i="3"/>
  <c r="P58" i="3" s="1" a="1"/>
  <c r="H59" i="3"/>
  <c r="P59" i="3" s="1" a="1"/>
  <c r="H56" i="3"/>
  <c r="P56" i="3" s="1" a="1"/>
  <c r="V36" i="13" a="1"/>
  <c r="Q36" i="13" a="1"/>
  <c r="X90" i="3" a="1"/>
  <c r="P2" i="3" a="1"/>
  <c r="P3" i="3" a="1"/>
  <c r="P4" i="3" a="1"/>
  <c r="P5" i="3" a="1"/>
  <c r="P6" i="3" a="1"/>
  <c r="P7" i="3" a="1"/>
  <c r="P8" i="3" a="1"/>
  <c r="P9" i="3" a="1"/>
  <c r="P10" i="3" a="1"/>
  <c r="P11" i="3" a="1"/>
  <c r="P12" i="3" a="1"/>
  <c r="P13" i="3" a="1"/>
  <c r="P14" i="3" a="1"/>
  <c r="P15" i="3" a="1"/>
  <c r="P16" i="3" a="1"/>
  <c r="P17" i="3" a="1"/>
  <c r="P18" i="3" a="1"/>
  <c r="P19" i="3" a="1"/>
  <c r="P20" i="3" a="1"/>
  <c r="P23" i="3" a="1"/>
  <c r="P24" i="3" a="1"/>
  <c r="P28" i="3" a="1"/>
  <c r="P32" i="3" a="1"/>
  <c r="P33" i="3" a="1"/>
  <c r="P34" i="3" a="1"/>
  <c r="P35" i="3" a="1"/>
  <c r="P36" i="3" a="1"/>
  <c r="P37" i="3" a="1"/>
  <c r="P38" i="3" a="1"/>
  <c r="P39" i="3" a="1"/>
  <c r="P40" i="3" a="1"/>
  <c r="P41" i="3" a="1"/>
  <c r="P42" i="3" a="1"/>
  <c r="P43" i="3" a="1"/>
  <c r="P44" i="3" a="1"/>
  <c r="P45" i="3" a="1"/>
  <c r="P46" i="3" a="1"/>
  <c r="P47" i="3" a="1"/>
  <c r="P48" i="3" a="1"/>
  <c r="P49" i="3" a="1"/>
  <c r="P50" i="3" a="1"/>
  <c r="P51" i="3" a="1"/>
  <c r="P52" i="3" a="1"/>
  <c r="P54" i="3" a="1"/>
  <c r="P55" i="3" a="1"/>
  <c r="P60" i="3" a="1"/>
  <c r="P61" i="3" a="1"/>
  <c r="P62" i="3" a="1"/>
  <c r="P63" i="3" a="1"/>
  <c r="P64" i="3" a="1"/>
  <c r="P65" i="3" a="1"/>
  <c r="P66" i="3" a="1"/>
  <c r="P67" i="3" a="1"/>
  <c r="P68" i="3" a="1"/>
  <c r="P69" i="3" a="1"/>
  <c r="P70" i="3" a="1"/>
  <c r="P71" i="3" a="1"/>
  <c r="P72" i="3" a="1"/>
  <c r="P73" i="3" a="1"/>
  <c r="P76" i="3" a="1"/>
  <c r="P80" i="3" a="1"/>
  <c r="P81" i="3" a="1"/>
  <c r="P82" i="3" a="1"/>
  <c r="P87" i="3" a="1"/>
  <c r="P83" i="3" a="1"/>
  <c r="P88" i="3" a="1"/>
  <c r="P89" i="3" a="1"/>
  <c r="P90" i="3" a="1"/>
  <c r="P91" i="3" a="1"/>
  <c r="P92" i="3" a="1"/>
  <c r="P93" i="3" a="1"/>
  <c r="P94" i="3" a="1"/>
  <c r="P95" i="3" a="1"/>
  <c r="P96" i="3" a="1"/>
  <c r="P97" i="3" a="1"/>
  <c r="A2" i="23"/>
  <c r="F2" i="3" a="1"/>
  <c r="F3" i="3" a="1"/>
  <c r="F4" i="3" a="1"/>
  <c r="F5" i="3" a="1"/>
  <c r="F6" i="3" a="1"/>
  <c r="F7" i="3" a="1"/>
  <c r="F8" i="3" a="1"/>
  <c r="F9" i="3" a="1"/>
  <c r="F10" i="3" a="1"/>
  <c r="F11" i="3" a="1"/>
  <c r="F12" i="3" a="1"/>
  <c r="F13" i="3" a="1"/>
  <c r="F14" i="3" a="1"/>
  <c r="F15" i="3" a="1"/>
  <c r="F16" i="3" a="1"/>
  <c r="F17" i="3" a="1"/>
  <c r="F18" i="3" a="1"/>
  <c r="F19" i="3" a="1"/>
  <c r="F20" i="3" a="1"/>
  <c r="F23" i="3" a="1"/>
  <c r="F24" i="3" a="1"/>
  <c r="F28" i="3" a="1"/>
  <c r="F32" i="3" a="1"/>
  <c r="F33" i="3" a="1"/>
  <c r="F34" i="3" a="1"/>
  <c r="F35" i="3" a="1"/>
  <c r="F36" i="3" a="1"/>
  <c r="F37" i="3" a="1"/>
  <c r="F38" i="3" a="1"/>
  <c r="F39" i="3" a="1"/>
  <c r="F40" i="3" a="1"/>
  <c r="F41" i="3" a="1"/>
  <c r="F42" i="3" a="1"/>
  <c r="F43" i="3" a="1"/>
  <c r="F44" i="3" a="1"/>
  <c r="F45" i="3" a="1"/>
  <c r="F46" i="3" a="1"/>
  <c r="F47" i="3" a="1"/>
  <c r="F48" i="3" a="1"/>
  <c r="F49" i="3" a="1"/>
  <c r="F50" i="3" a="1"/>
  <c r="F51" i="3" a="1"/>
  <c r="F52" i="3" a="1"/>
  <c r="F54" i="3" a="1"/>
  <c r="F55" i="3" a="1"/>
  <c r="F56" i="3" a="1"/>
  <c r="F57" i="3" a="1"/>
  <c r="F58" i="3" a="1"/>
  <c r="F59" i="3" a="1"/>
  <c r="F60" i="3" a="1"/>
  <c r="F61" i="3" a="1"/>
  <c r="F62" i="3" a="1"/>
  <c r="F63" i="3" a="1"/>
  <c r="F64" i="3" a="1"/>
  <c r="F65" i="3" a="1"/>
  <c r="F66" i="3" a="1"/>
  <c r="F67" i="3" a="1"/>
  <c r="F68" i="3" a="1"/>
  <c r="F69" i="3" a="1"/>
  <c r="F70" i="3" a="1"/>
  <c r="F71" i="3" a="1"/>
  <c r="F72" i="3" a="1"/>
  <c r="F73" i="3" a="1"/>
  <c r="F76" i="3" a="1"/>
  <c r="F80" i="3" a="1"/>
  <c r="F81" i="3" a="1"/>
  <c r="F82" i="3" a="1"/>
  <c r="F87" i="3" a="1"/>
  <c r="F83" i="3" a="1"/>
  <c r="F88" i="3" a="1"/>
  <c r="F89" i="3" a="1"/>
  <c r="F90" i="3" a="1"/>
  <c r="F91" i="3" a="1"/>
  <c r="F92" i="3" a="1"/>
  <c r="F93" i="3" a="1"/>
  <c r="F94" i="3" a="1"/>
  <c r="F95" i="3" a="1"/>
  <c r="F96" i="3" a="1"/>
  <c r="F97" i="3" a="1"/>
  <c r="F100" i="3" a="1"/>
  <c r="F101" i="3" a="1"/>
  <c r="F102" i="3" a="1"/>
  <c r="F106" i="3" a="1"/>
  <c r="F107" i="3" a="1"/>
  <c r="A2" i="21" a="1"/>
  <c r="F1" i="20"/>
  <c r="B1" i="20" a="1"/>
  <c r="B1" i="16" a="1"/>
  <c r="C15" i="13" a="1"/>
  <c r="C16" i="13"/>
  <c r="C17" i="13"/>
  <c r="C18" i="13"/>
  <c r="C19" i="13"/>
  <c r="C20" i="13" s="1"/>
  <c r="B19" i="13"/>
  <c r="B20" i="13"/>
  <c r="O107" i="3"/>
  <c r="O39" i="13"/>
  <c r="C41" i="13" s="1"/>
  <c r="C39" i="13"/>
  <c r="C40" i="13"/>
  <c r="C38" i="13"/>
  <c r="O83" i="3"/>
  <c r="O91" i="3"/>
  <c r="O89" i="3"/>
  <c r="O80" i="3"/>
  <c r="O51" i="3"/>
  <c r="A2" i="19" a="1"/>
  <c r="A2" i="12" a="1"/>
  <c r="A2" i="17" a="1"/>
  <c r="A1" i="16"/>
  <c r="O96" i="3"/>
  <c r="O95" i="3"/>
  <c r="O94" i="3"/>
  <c r="O93" i="3"/>
  <c r="O92" i="3"/>
  <c r="O88" i="3"/>
  <c r="O90" i="3"/>
  <c r="O55" i="3"/>
  <c r="O2" i="3"/>
  <c r="O3" i="3"/>
  <c r="O4" i="3"/>
  <c r="O5" i="3"/>
  <c r="O6" i="3"/>
  <c r="O7" i="3"/>
  <c r="O8" i="3"/>
  <c r="O9" i="3"/>
  <c r="O10" i="3"/>
  <c r="O11" i="3"/>
  <c r="O12" i="3"/>
  <c r="O13" i="3"/>
  <c r="O14" i="3"/>
  <c r="O15" i="3"/>
  <c r="O16" i="3"/>
  <c r="O17" i="3"/>
  <c r="O18" i="3"/>
  <c r="O19" i="3"/>
  <c r="O20" i="3"/>
  <c r="O23" i="3"/>
  <c r="O24" i="3"/>
  <c r="O28" i="3"/>
  <c r="O32" i="3"/>
  <c r="O33" i="3"/>
  <c r="O34" i="3"/>
  <c r="O35" i="3"/>
  <c r="O36" i="3"/>
  <c r="O37" i="3"/>
  <c r="O38" i="3"/>
  <c r="O39" i="3"/>
  <c r="O40" i="3"/>
  <c r="O41" i="3"/>
  <c r="O42" i="3"/>
  <c r="O43" i="3"/>
  <c r="O44" i="3"/>
  <c r="O45" i="3"/>
  <c r="O46" i="3"/>
  <c r="O47" i="3"/>
  <c r="O48" i="3"/>
  <c r="O49" i="3"/>
  <c r="O50" i="3"/>
  <c r="O52" i="3"/>
  <c r="O54" i="3"/>
  <c r="O56" i="3"/>
  <c r="O57" i="3"/>
  <c r="O58" i="3"/>
  <c r="O59" i="3"/>
  <c r="O60" i="3"/>
  <c r="O61" i="3"/>
  <c r="O62" i="3"/>
  <c r="O63" i="3"/>
  <c r="O64" i="3"/>
  <c r="O65" i="3"/>
  <c r="O66" i="3"/>
  <c r="O67" i="3"/>
  <c r="O68" i="3"/>
  <c r="O69" i="3"/>
  <c r="O70" i="3"/>
  <c r="O71" i="3"/>
  <c r="O72" i="3"/>
  <c r="O73" i="3"/>
  <c r="O76" i="3"/>
  <c r="O81" i="3"/>
  <c r="O82" i="3"/>
  <c r="O87" i="3"/>
  <c r="O97" i="3"/>
  <c r="O100" i="3"/>
  <c r="O101" i="3"/>
  <c r="O102" i="3"/>
  <c r="O106" i="3"/>
  <c r="C11" i="13"/>
  <c r="Z15" i="13"/>
  <c r="A1" i="14" a="1"/>
  <c r="A2" i="4" a="1"/>
  <c r="A12" i="9" a="1"/>
  <c r="D1" i="9" s="1" a="1"/>
  <c r="B1" i="9" a="1"/>
  <c r="A5" i="7" a="1"/>
  <c r="C60" i="8" a="1"/>
  <c r="D60" i="8" s="1" a="1"/>
  <c r="D49" i="8" a="1"/>
  <c r="F49" i="8" s="1" a="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I2" i="8"/>
  <c r="F5" i="7" a="1"/>
  <c r="N5" i="7" a="1"/>
  <c r="M5" i="7" s="1" a="1"/>
  <c r="E5" i="7" s="1" a="1"/>
  <c r="O5" i="7" a="1"/>
  <c r="H2" i="13" a="1"/>
  <c r="S7" i="25"/>
  <c r="R7" i="25"/>
  <c r="Q7" i="25"/>
  <c r="S98" i="3"/>
  <c r="Q98" i="3"/>
  <c r="R98" i="3"/>
  <c r="S107" i="3"/>
  <c r="R107" i="3"/>
  <c r="Q107" i="3"/>
  <c r="S83" i="3"/>
  <c r="R83" i="3"/>
  <c r="Q83" i="3"/>
  <c r="Q91" i="3"/>
  <c r="R91" i="3"/>
  <c r="S91" i="3"/>
  <c r="S89" i="3"/>
  <c r="R89" i="3"/>
  <c r="Q89" i="3"/>
  <c r="R80" i="3"/>
  <c r="S80" i="3"/>
  <c r="Q80" i="3"/>
  <c r="R51" i="3"/>
  <c r="S51" i="3"/>
  <c r="Q51" i="3"/>
  <c r="Q96" i="3"/>
  <c r="R96" i="3"/>
  <c r="S96" i="3"/>
  <c r="R95" i="3"/>
  <c r="Q95" i="3"/>
  <c r="S95" i="3"/>
  <c r="R94" i="3"/>
  <c r="Q94" i="3"/>
  <c r="S94" i="3"/>
  <c r="S93" i="3"/>
  <c r="R93" i="3"/>
  <c r="Q93" i="3"/>
  <c r="Q92" i="3"/>
  <c r="R92" i="3"/>
  <c r="S92" i="3"/>
  <c r="S88" i="3"/>
  <c r="R88" i="3"/>
  <c r="Q88" i="3"/>
  <c r="S90" i="3"/>
  <c r="Q90" i="3"/>
  <c r="R90" i="3"/>
  <c r="R55" i="3"/>
  <c r="S55" i="3"/>
  <c r="Q55"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T36" i="13" a="1"/>
  <c r="B1" i="23" a="1"/>
  <c r="W18" i="13" a="1"/>
  <c r="W36" i="13" a="1"/>
  <c r="J2" i="13" a="1"/>
  <c r="A2" i="14" a="1"/>
  <c r="B12" i="9" a="1"/>
  <c r="A2" i="16" l="1" a="1"/>
  <c r="B2" i="16" s="1" a="1"/>
  <c r="D5" i="7" a="1"/>
  <c r="R77" i="3"/>
  <c r="S77" i="3"/>
  <c r="Q34" i="13" s="1"/>
  <c r="R78" i="3"/>
  <c r="Q78" i="3"/>
  <c r="S78" i="3"/>
  <c r="Q79" i="3"/>
  <c r="S79" i="3"/>
  <c r="R79" i="3"/>
  <c r="S75" i="3"/>
  <c r="R75" i="3"/>
  <c r="S13" i="3"/>
  <c r="Q13" i="3"/>
  <c r="R13" i="3"/>
  <c r="S14" i="3"/>
  <c r="Q14" i="3"/>
  <c r="R14" i="3"/>
  <c r="S15" i="3"/>
  <c r="R15" i="3"/>
  <c r="Q15" i="3"/>
  <c r="S16" i="3"/>
  <c r="R16" i="3"/>
  <c r="Q16" i="3"/>
  <c r="Q17" i="3"/>
  <c r="S17" i="3"/>
  <c r="R17" i="3"/>
  <c r="Q18" i="3"/>
  <c r="S18" i="3"/>
  <c r="R18" i="3"/>
  <c r="S19" i="3"/>
  <c r="R19" i="3"/>
  <c r="Q19" i="3"/>
  <c r="S20" i="3"/>
  <c r="R20" i="3"/>
  <c r="Q20" i="3"/>
  <c r="S23" i="3"/>
  <c r="Q23" i="3"/>
  <c r="R23" i="3"/>
  <c r="S24" i="3"/>
  <c r="R24" i="3"/>
  <c r="Q24" i="3"/>
  <c r="S28" i="3"/>
  <c r="Q28" i="3"/>
  <c r="R28" i="3"/>
  <c r="S32" i="3"/>
  <c r="R32" i="3"/>
  <c r="Q32" i="3"/>
  <c r="Q33" i="3"/>
  <c r="S33" i="3"/>
  <c r="R33" i="3"/>
  <c r="R34" i="3"/>
  <c r="S34" i="3"/>
  <c r="Q34" i="3"/>
  <c r="S35" i="3"/>
  <c r="R35" i="3"/>
  <c r="Q35" i="3"/>
  <c r="S36" i="3"/>
  <c r="R36" i="3"/>
  <c r="Q36" i="3"/>
  <c r="Q37" i="3"/>
  <c r="R37" i="3"/>
  <c r="S37" i="3"/>
  <c r="R38" i="3"/>
  <c r="S38" i="3"/>
  <c r="Q38" i="3"/>
  <c r="Q39" i="3"/>
  <c r="R39" i="3"/>
  <c r="S39" i="3"/>
  <c r="Q40" i="3"/>
  <c r="R40" i="3"/>
  <c r="S40" i="3"/>
  <c r="Q41" i="3"/>
  <c r="R41" i="3"/>
  <c r="S41" i="3"/>
  <c r="R42" i="3"/>
  <c r="Q42" i="3"/>
  <c r="S42" i="3"/>
  <c r="R43" i="3"/>
  <c r="S43" i="3"/>
  <c r="Q43" i="3"/>
  <c r="S44" i="3"/>
  <c r="Q44" i="3"/>
  <c r="R44" i="3"/>
  <c r="S45" i="3"/>
  <c r="Q45" i="3"/>
  <c r="R45" i="3"/>
  <c r="Q46" i="3"/>
  <c r="R46" i="3"/>
  <c r="S46" i="3"/>
  <c r="S47" i="3"/>
  <c r="Q47" i="3"/>
  <c r="R47" i="3"/>
  <c r="S48" i="3"/>
  <c r="Q48" i="3"/>
  <c r="R48" i="3"/>
  <c r="R49" i="3"/>
  <c r="S49" i="3"/>
  <c r="Q49" i="3"/>
  <c r="R50" i="3"/>
  <c r="S50" i="3"/>
  <c r="Q50" i="3"/>
  <c r="S52" i="3"/>
  <c r="R52" i="3"/>
  <c r="Q52" i="3"/>
  <c r="S54" i="3"/>
  <c r="R54" i="3"/>
  <c r="Q54" i="3"/>
  <c r="Q56" i="3"/>
  <c r="R56" i="3"/>
  <c r="S56" i="3"/>
  <c r="R57" i="3"/>
  <c r="Q57" i="3"/>
  <c r="S57" i="3"/>
  <c r="Q58" i="3"/>
  <c r="S58" i="3"/>
  <c r="R58" i="3"/>
  <c r="R59" i="3"/>
  <c r="Q59" i="3"/>
  <c r="S59" i="3"/>
  <c r="R60" i="3"/>
  <c r="Q60" i="3"/>
  <c r="S60" i="3"/>
  <c r="S61" i="3"/>
  <c r="Q61" i="3"/>
  <c r="R61" i="3"/>
  <c r="S62" i="3"/>
  <c r="Q62" i="3"/>
  <c r="R62" i="3"/>
  <c r="S63" i="3"/>
  <c r="Q63" i="3"/>
  <c r="R63" i="3"/>
  <c r="S64" i="3"/>
  <c r="R64" i="3"/>
  <c r="Q64" i="3"/>
  <c r="S65" i="3"/>
  <c r="Q65" i="3"/>
  <c r="R65" i="3"/>
  <c r="S66" i="3"/>
  <c r="R66" i="3"/>
  <c r="Q66" i="3"/>
  <c r="S67" i="3"/>
  <c r="R67" i="3"/>
  <c r="Q67" i="3"/>
  <c r="S68" i="3"/>
  <c r="R68" i="3"/>
  <c r="Q68" i="3"/>
  <c r="R69" i="3"/>
  <c r="Q69" i="3"/>
  <c r="S69" i="3"/>
  <c r="R70" i="3"/>
  <c r="S70" i="3"/>
  <c r="Q70" i="3"/>
  <c r="S71" i="3"/>
  <c r="Q71" i="3"/>
  <c r="R71" i="3"/>
  <c r="Q72" i="3"/>
  <c r="S72" i="3"/>
  <c r="R72" i="3"/>
  <c r="R73" i="3"/>
  <c r="S73" i="3"/>
  <c r="Q73" i="3"/>
  <c r="S76" i="3"/>
  <c r="R76" i="3"/>
  <c r="Q76" i="3"/>
  <c r="Q81" i="3"/>
  <c r="R81" i="3"/>
  <c r="S81" i="3"/>
  <c r="R82" i="3"/>
  <c r="S82" i="3"/>
  <c r="Q82" i="3"/>
  <c r="R87" i="3"/>
  <c r="Q87" i="3"/>
  <c r="S87" i="3"/>
  <c r="Q97" i="3"/>
  <c r="R97" i="3"/>
  <c r="S97" i="3"/>
  <c r="R100" i="3"/>
  <c r="S100" i="3"/>
  <c r="Q100" i="3"/>
  <c r="S101" i="3"/>
  <c r="Q101" i="3"/>
  <c r="R101" i="3"/>
  <c r="Q102" i="3"/>
  <c r="R102" i="3"/>
  <c r="S102" i="3"/>
  <c r="R106" i="3"/>
  <c r="S106" i="3"/>
  <c r="Q106" i="3"/>
  <c r="B2" i="19" a="1"/>
  <c r="B2" i="4" s="1" a="1"/>
  <c r="J7" i="25" a="1"/>
  <c r="J100" i="3" s="1" a="1"/>
  <c r="P100" i="3" s="1" a="1"/>
  <c r="J99" i="3" a="1"/>
  <c r="P99" i="3" s="1" a="1"/>
  <c r="J103" i="3" a="1"/>
  <c r="P103" i="3" s="1" a="1"/>
  <c r="J104" i="3" a="1"/>
  <c r="P104" i="3" s="1" a="1"/>
  <c r="J105" i="3" a="1"/>
  <c r="P105" i="3" s="1" a="1"/>
  <c r="J101" i="3" a="1"/>
  <c r="P101" i="3" s="1" a="1"/>
  <c r="J102" i="3" a="1"/>
  <c r="P102" i="3" s="1" a="1"/>
  <c r="J106" i="3" a="1"/>
  <c r="P106" i="3" s="1" a="1"/>
  <c r="J107" i="3" a="1"/>
  <c r="P107" i="3" s="1" a="1"/>
  <c r="B2" i="12" l="1" a="1"/>
  <c r="B2" i="17"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<sst xmlns="http://schemas.openxmlformats.org/spreadsheetml/2006/main" count="2613" uniqueCount="738">
  <si>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</si>
  <si>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</si>
  <si>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</si>
  <si>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</si>
  <si>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</si>
  <si>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</si>
  <si>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</si>
  <si>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</si>
  <si>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</si>
  <si>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</si>
  <si>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</si>
  <si>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</si>
  <si>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</si>
  <si>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</si>
  <si>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</si>
  <si>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</si>
  <si>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</si>
  <si>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</si>
  <si>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</si>
  <si>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</si>
  <si>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</si>
  <si>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</si>
  <si>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</si>
  <si>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</si>
  <si>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</si>
  <si>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</si>
  <si>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</si>
  <si>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</si>
  <si>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</si>
  <si>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</si>
  <si>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</si>
  <si>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</si>
  <si>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</si>
  <si>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</si>
  <si>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</si>
  <si>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</si>
  <si>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</si>
  <si>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</si>
  <si>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</si>
  <si>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</si>
  <si>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</si>
  <si>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</si>
  <si>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</si>
  <si>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</si>
  <si>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</si>
  <si>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</si>
  <si>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</si>
  <si>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</si>
  <si>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</si>
  <si>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</si>
  <si>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</si>
  <si>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</si>
  <si>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</si>
  <si>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</si>
  <si>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</si>
  <si>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</si>
  <si>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</si>
  <si>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</si>
  <si>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</si>
  <si>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</si>
  <si>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</si>
  <si>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</si>
  <si>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</si>
  <si>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</si>
  <si>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</si>
  <si>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</si>
  <si>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</si>
  <si>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</si>
  <si>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</si>
  <si>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</si>
  <si>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</si>
  <si>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</si>
  <si>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</si>
  <si>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</si>
  <si>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</si>
  <si>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</si>
  <si>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</si>
  <si>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</si>
  <si>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</si>
  <si>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</si>
  <si>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</si>
  <si>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</si>
  <si>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</si>
  <si>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</si>
  <si>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</si>
  <si>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</si>
  <si>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</si>
  <si>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</si>
  <si>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</si>
  <si>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</si>
  <si>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</si>
  <si>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</si>
  <si>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</si>
  <si>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</si>
  <si>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</si>
  <si>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</si>
  <si>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</si>
  <si>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</si>
  <si>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</si>
  <si>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</si>
  <si>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</si>
  <si>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</si>
  <si>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</si>
  <si>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</si>
  <si>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</si>
  <si>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</si>
  <si>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</si>
  <si>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</si>
  <si>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</si>
  <si>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</si>
  <si>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</si>
  <si>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</si>
  <si>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</si>
  <si>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</si>
  <si>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</si>
  <si>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</si>
  <si>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</si>
  <si>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</si>
  <si>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</si>
  <si>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</si>
  <si>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</si>
  <si>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</si>
  <si>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</si>
  <si>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</si>
  <si>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</si>
  <si>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</si>
  <si>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</si>
  <si>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</si>
  <si>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</si>
  <si>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</si>
  <si>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</si>
  <si>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</si>
  <si>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</si>
  <si>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</si>
  <si>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</si>
  <si>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</si>
  <si>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</si>
  <si>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</si>
  <si>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</si>
  <si>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</si>
  <si>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</si>
  <si>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</si>
  <si>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</si>
  <si>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</si>
  <si>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</si>
  <si>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</si>
  <si>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</si>
  <si>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</si>
  <si>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</si>
  <si>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</si>
  <si>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</si>
  <si>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</si>
  <si>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</si>
  <si>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</si>
  <si>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</si>
  <si>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</si>
  <si>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</si>
  <si>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</si>
  <si>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</si>
  <si>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</si>
  <si>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</si>
  <si>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</si>
  <si>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</si>
  <si>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</si>
  <si>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</si>
  <si>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</si>
  <si>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</si>
  <si>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</si>
  <si>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</si>
  <si>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</si>
  <si>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</si>
  <si>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</si>
  <si>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</si>
  <si>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</si>
  <si>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</si>
  <si>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</si>
  <si>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</si>
  <si>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</si>
  <si>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</si>
  <si>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</si>
  <si>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</si>
  <si>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</si>
  <si>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</si>
  <si>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</si>
  <si>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</si>
  <si>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</si>
  <si>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</si>
  <si>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</si>
  <si>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</si>
  <si>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</si>
  <si>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</si>
  <si>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</si>
  <si>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</si>
  <si>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</si>
  <si>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</si>
  <si>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</si>
  <si>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</si>
  <si>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</si>
  <si>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</si>
  <si>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</si>
  <si>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</si>
  <si>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</si>
  <si>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</si>
  <si>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</si>
  <si>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</si>
  <si>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</si>
  <si>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</si>
  <si>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</si>
  <si>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</si>
  <si>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</si>
  <si>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</si>
  <si>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</si>
  <si>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</si>
  <si>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</si>
  <si>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</si>
  <si>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</si>
  <si>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</si>
  <si>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</si>
  <si>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</si>
  <si>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</si>
  <si>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</si>
  <si>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</si>
  <si>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</si>
  <si>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</si>
  <si>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</si>
  <si>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</si>
  <si>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</si>
  <si>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</si>
  <si>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</si>
  <si>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</si>
  <si>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</si>
  <si>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</si>
  <si>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</si>
  <si>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</si>
  <si>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</si>
  <si>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</si>
  <si>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</si>
  <si>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</si>
  <si>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</si>
  <si>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</si>
  <si>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</si>
  <si>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</si>
  <si>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</si>
  <si>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</si>
  <si>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</si>
  <si>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</si>
  <si>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</si>
  <si>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</si>
  <si>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</si>
  <si>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</si>
  <si>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</si>
  <si>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</si>
  <si>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</si>
  <si>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</si>
  <si>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</si>
  <si>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</si>
  <si>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</si>
  <si>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</si>
  <si>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</si>
  <si>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</si>
  <si>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</si>
  <si>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</si>
  <si>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</si>
  <si>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</si>
  <si>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</si>
  <si>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</si>
  <si>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</si>
  <si>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</si>
  <si>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</si>
  <si>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</si>
  <si>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</si>
  <si>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</si>
  <si>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</si>
  <si>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</si>
  <si>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</si>
  <si>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</si>
  <si>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</si>
  <si>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</si>
  <si>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</si>
  <si>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</si>
  <si>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</si>
  <si>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</si>
  <si>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</si>
  <si>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</si>
  <si>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</si>
  <si>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</si>
  <si>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</si>
  <si>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</si>
  <si>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</si>
  <si>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</si>
  <si>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</si>
  <si>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</si>
  <si>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</si>
  <si>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</si>
  <si>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</si>
  <si>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</si>
  <si>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</si>
  <si>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</si>
  <si>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</si>
  <si>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</si>
  <si>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</si>
  <si>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</si>
  <si>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</si>
  <si>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</si>
  <si>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</si>
  <si>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</si>
  <si>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</si>
  <si>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</si>
  <si>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</si>
  <si>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</si>
  <si>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</si>
  <si>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</si>
  <si>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</si>
  <si>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</si>
  <si>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</si>
  <si>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</si>
  <si>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</si>
  <si>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</si>
  <si>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</si>
  <si>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</si>
  <si>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</si>
  <si>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</si>
  <si>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</si>
  <si>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</si>
  <si>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</si>
  <si>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</si>
  <si>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</si>
  <si>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</si>
  <si>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</si>
  <si>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</si>
  <si>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</si>
  <si>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</si>
  <si>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</si>
  <si>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</si>
  <si>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</si>
  <si>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</si>
  <si>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</si>
  <si>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</si>
  <si>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</si>
  <si>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</si>
  <si>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</si>
  <si>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</si>
  <si>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</si>
  <si>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</si>
  <si>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</si>
  <si>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</si>
  <si>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</si>
  <si>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</si>
  <si>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</si>
  <si>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</si>
  <si>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</si>
  <si>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</si>
  <si>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</si>
  <si>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</si>
  <si>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</si>
  <si>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</si>
  <si>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</si>
  <si>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</si>
  <si>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</si>
  <si>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</si>
  <si>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</si>
  <si>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</si>
  <si>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</si>
  <si>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</si>
  <si>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</si>
  <si>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</si>
  <si>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</si>
  <si>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</si>
  <si>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</si>
  <si>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</si>
  <si>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</si>
  <si>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</si>
  <si>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</si>
  <si>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</si>
  <si>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</si>
  <si>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</si>
  <si>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</si>
  <si>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</si>
  <si>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</si>
  <si>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</si>
  <si>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</si>
  <si>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</si>
  <si>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</si>
  <si>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</si>
  <si>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</si>
  <si>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</si>
  <si>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</si>
  <si>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</si>
  <si>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</si>
  <si>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</si>
  <si>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</si>
  <si>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</si>
  <si>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</si>
  <si>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</si>
  <si>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</si>
  <si>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</si>
  <si>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</si>
  <si>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</si>
  <si>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</si>
  <si>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</si>
  <si>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</si>
  <si>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</si>
  <si>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</si>
  <si>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</si>
  <si>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</si>
  <si>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</si>
  <si>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</si>
  <si>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</si>
  <si>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</si>
  <si>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</si>
  <si>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</si>
  <si>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</si>
  <si>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</si>
  <si>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</si>
  <si>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</si>
  <si>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</si>
  <si>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</si>
  <si>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</si>
  <si>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</si>
  <si>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</si>
  <si>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</si>
  <si>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</si>
  <si>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</si>
  <si>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</si>
  <si>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</si>
  <si>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</si>
  <si>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</si>
  <si>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</si>
  <si>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</si>
  <si>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</si>
  <si>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</si>
  <si>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</si>
  <si>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</si>
  <si>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</si>
  <si>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</si>
  <si>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</si>
  <si>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</si>
  <si>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</si>
  <si>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</si>
  <si>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</si>
  <si>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</si>
  <si>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</si>
  <si>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</si>
  <si>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</si>
  <si>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</si>
  <si>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</si>
  <si>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</si>
  <si>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</si>
  <si>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</si>
  <si>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</si>
  <si>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</si>
  <si>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</si>
  <si>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</si>
  <si>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</si>
  <si>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</si>
  <si>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</si>
  <si>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</si>
  <si>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</si>
  <si>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</si>
  <si>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</si>
  <si>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</si>
  <si>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</si>
  <si>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</si>
  <si>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</si>
  <si>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</si>
  <si>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</si>
  <si>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</si>
  <si>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</si>
  <si>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</si>
  <si>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</si>
  <si>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</si>
  <si>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</si>
  <si>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</si>
  <si>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</si>
  <si>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</si>
  <si>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</si>
  <si>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</si>
  <si>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</si>
  <si>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</si>
  <si>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</si>
  <si>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</si>
  <si>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</si>
  <si>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</si>
  <si>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</si>
  <si>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</si>
  <si>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</si>
  <si>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</si>
  <si>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</si>
  <si>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</si>
  <si>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</si>
  <si>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</si>
  <si>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</si>
  <si>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</si>
  <si>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</si>
  <si>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</si>
  <si>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</si>
  <si>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</si>
  <si>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</si>
  <si>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</si>
  <si>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</si>
  <si>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</si>
  <si>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</si>
  <si>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</si>
  <si>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</si>
  <si>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</si>
  <si>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</si>
  <si>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</si>
  <si>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</si>
  <si>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</si>
  <si>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</si>
  <si>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</si>
  <si>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</si>
  <si>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</si>
  <si>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</si>
  <si>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</si>
  <si>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</si>
  <si>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</si>
  <si>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</si>
  <si>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</si>
  <si>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</si>
  <si>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</si>
  <si>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</si>
  <si>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</si>
  <si>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</si>
  <si>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</si>
  <si>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</si>
  <si>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</si>
  <si>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</si>
  <si>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</si>
  <si>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</si>
  <si>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</si>
  <si>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</si>
  <si>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</si>
  <si>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</si>
  <si>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</si>
  <si>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</si>
  <si>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</si>
  <si>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</si>
  <si>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</si>
  <si>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</si>
  <si>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</si>
  <si>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</si>
  <si>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</si>
  <si>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</si>
  <si>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</si>
  <si>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</si>
  <si>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</si>
  <si>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</si>
  <si>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</si>
  <si>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</si>
  <si>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</si>
  <si>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</si>
  <si>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</si>
  <si>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</si>
  <si>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</si>
  <si>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</si>
  <si>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</si>
  <si>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</si>
  <si>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</si>
  <si>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</si>
  <si>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</si>
  <si>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</si>
  <si>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</si>
  <si>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</si>
  <si>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</si>
  <si>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</si>
  <si>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</si>
  <si>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</si>
  <si>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</si>
  <si>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</si>
  <si>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</si>
  <si>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</si>
  <si>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</si>
  <si>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</si>
  <si>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</si>
  <si>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</si>
  <si>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</si>
  <si>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</si>
  <si>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</si>
  <si>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</si>
  <si>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</si>
  <si>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</si>
  <si>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</si>
  <si>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</si>
  <si>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</si>
  <si>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</si>
  <si>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</si>
  <si>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</si>
  <si>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</si>
  <si>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</si>
  <si>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</si>
  <si>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</si>
  <si>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</si>
  <si>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</si>
  <si>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</si>
  <si>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</si>
  <si>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</si>
  <si>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</si>
  <si>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</si>
  <si>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</si>
  <si>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</si>
  <si>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</si>
  <si>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</si>
  <si>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</si>
  <si>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</si>
  <si>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</si>
  <si>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</si>
  <si>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</si>
  <si>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</si>
  <si>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</si>
  <si>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</si>
  <si>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</si>
  <si>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</si>
  <si>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</si>
  <si>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</si>
  <si>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</si>
  <si>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</si>
  <si>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</si>
  <si>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</si>
  <si>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</si>
  <si>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</si>
  <si>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</si>
  <si>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</si>
  <si>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</si>
  <si>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</si>
  <si>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</si>
  <si>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</si>
  <si>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</si>
  <si>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</si>
  <si>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</si>
  <si>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</si>
  <si>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</si>
  <si>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</si>
  <si>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</si>
  <si>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</si>
  <si>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</si>
  <si>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</si>
  <si>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</si>
  <si>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</si>
  <si>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</si>
  <si>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</si>
  <si>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</si>
  <si>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</si>
  <si>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</si>
  <si>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</si>
  <si>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</si>
  <si>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</si>
  <si>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</si>
  <si>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</si>
  <si>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</si>
  <si>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</si>
  <si>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</si>
  <si>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</si>
  <si>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</si>
  <si>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</si>
  <si>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</si>
  <si>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</si>
  <si>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</si>
  <si>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</si>
  <si>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</si>
  <si>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</si>
  <si>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</si>
  <si>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</si>
  <si>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</si>
  <si>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</si>
  <si>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</si>
  <si>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</si>
  <si>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</si>
  <si>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</si>
  <si>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</si>
  <si>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</si>
  <si>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</si>
  <si>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</si>
  <si>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</si>
  <si>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</si>
  <si>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</si>
  <si>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</si>
  <si>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</si>
  <si>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</si>
  <si>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</si>
  <si>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</si>
  <si>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</si>
  <si>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</si>
  <si>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</si>
  <si>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</si>
  <si>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</si>
  <si>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</si>
  <si>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</si>
  <si>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</si>
  <si>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</si>
  <si>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</si>
  <si>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</si>
  <si>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</si>
  <si>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</si>
  <si>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</si>
  <si>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</si>
  <si>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</si>
  <si>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</si>
  <si>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</si>
  <si>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</si>
  <si>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</si>
  <si>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</si>
  <si>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</si>
  <si>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</si>
  <si>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</si>
  <si>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</si>
  <si>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</si>
  <si>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</si>
  <si>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</si>
  <si>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</si>
  <si>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</si>
  <si>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</si>
  <si>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</si>
  <si>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</si>
  <si>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</si>
  <si>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</si>
  <si>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</si>
  <si>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</si>
  <si>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</si>
  <si>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</si>
  <si>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</si>
  <si>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</si>
  <si>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</si>
  <si>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</si>
  <si>
    <t>PSP</t>
  </si>
  <si>
    <t>Invesco Global Listed Private Equity ETF</t>
  </si>
  <si>
    <t>Private Equity</t>
  </si>
  <si>
    <t>PRIVATES</t>
  </si>
  <si>
    <t>x</t>
  </si>
  <si>
    <t>IWO</t>
  </si>
  <si>
    <t>IWN</t>
  </si>
  <si>
    <t>MTUM</t>
  </si>
  <si>
    <t>Value</t>
  </si>
  <si>
    <t>iShares Russell 2000 Value ETF</t>
  </si>
  <si>
    <t>iShares Russell 2000 Growth ETF</t>
  </si>
  <si>
    <t>Growth</t>
  </si>
  <si>
    <t>iShares MSCI USA Momentum Factor ETF</t>
  </si>
  <si>
    <t>Momentum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</si>
</sst>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right style="thin">
        <color theme="0" tint="-0.24994659260841701"/>
      </right>
      <top style="thin">
        <color theme="0" tint="-0.24994659260841701"/>
      </top>
      <bottom/>
      <diagonal/>
    </border>
    <border>
      <left/>
      <right style="thin">
        <color theme="0" tint="-0.24994659260841701"/>
      </right>
      <top style="thin">
        <color theme="0" tint="-0.24994659260841701"/>
      </top>
      <bottom style="thin">
        <color theme="0" tint="-0.24994659260841701"/>
      </bottom>
      <diagonal/>
    </border>
  </borders>
  <cellStyleXfs count="1">
    <xf numFmtId="0" fontId="0" fillId="0" borderId="0"/>
  </cellStyleXfs>
  <cellXfs count="21">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xf numFmtId="0" fontId="0" fillId="0" borderId="5" xfId="0" applyBorder="1"/>
    <xf numFmtId="0" fontId="0" fillId="0" borderId="4" xfId="0" applyBorder="1"/>
    <xf numFmtId="0" fontId="0" fillId="0" borderId="7" xfId="0" applyBorder="1"/>
    <xf numFmtId="0" fontId="0" fillId="0" borderId="6" xfId="0" applyBorder="1"/>
    <xf numFmtId="0" fontId="0" fillId="0" borderId="5" xfId="0" applyBorder="1" applyAlignment="1">
      <alignment vertical="center"/>
    </xf>
    <xf numFmtId="0" fontId="0" fillId="0" borderId="6"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8" xfId="0" applyBorder="1" applyAlignment="1">
      <alignment horizontal="left" vertical="center"/>
    </xf>
  </cellXfs>
  <cellStyles count="1">
    <cellStyle name="Normal" xfId="0" builtinId="0"/>
  </cellStyles>
  <dxfs count="44">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border outline="0">
        <bottom style="thin">
          <color theme="0" tint="-0.24994659260841701"/>
        </bottom>
      </border>
    </dxf>
    <dxf>
      <alignment horizontal="left"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43"/>
      <tableStyleElement type="headerRow" dxfId="42"/>
      <tableStyleElement type="firstRowStripe" size="3" dxfId="4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8" totalsRowShown="0">
  <autoFilter ref="A1:C28"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10" totalsRowShown="0" headerRowDxfId="40" dataDxfId="38" headerRowBorderDxfId="39">
  <tableColumns count="20">
    <tableColumn id="1" xr3:uid="{740DC173-AAC9-4239-A44E-C43F8517304D}" name="asset_class" dataDxfId="37"/>
    <tableColumn id="2" xr3:uid="{A3BC3BB8-0420-458E-AECD-FD567519FA40}" name="region" dataDxfId="36"/>
    <tableColumn id="3" xr3:uid="{0E50B2E3-0362-41DB-ACC2-478CC6F618A4}" name="factor_name" dataDxfId="35"/>
    <tableColumn id="11" xr3:uid="{C400A641-F032-4829-A2CD-62831D657B37}" name="source" dataDxfId="34"/>
    <tableColumn id="12" xr3:uid="{BC682952-ADA8-4869-A16F-B9E7BC86E430}" name="diffusion_type" dataDxfId="33"/>
    <tableColumn id="16" xr3:uid="{A99CC35E-FB67-451C-BF9C-DA8D933B1B0C}" name="multiplier" dataDxfId="32">
      <calculatedColumnFormula array="1">_xlfn.SWITCH(data[[#This Row],[diffusion_type]],"lognormal",0.0001,"normal",-0.01)*IF(data[[#This Row],[asset_class]]="Vol",1,1)</calculatedColumnFormula>
    </tableColumn>
    <tableColumn id="8" xr3:uid="{02943B27-7FCB-4450-B8E0-CF0DB6CF5CCA}" name="factor_name_new" dataDxfId="31"/>
    <tableColumn id="4" xr3:uid="{D181BF84-863F-4FD0-B518-14EA5B0FB18E}" name="description_override" dataDxfId="30"/>
    <tableColumn id="6" xr3:uid="{1C40DF9B-2910-4DE6-A188-563938E39797}" name="Description_GPT" dataDxfId="29"/>
    <tableColumn id="5" xr3:uid="{1806E074-6CB5-47AB-8FA3-EF0F6E429062}" name="Underlying" dataDxfId="28"/>
    <tableColumn id="7" xr3:uid="{21539C17-C1CC-4FA9-A0E1-A2F8FF8AB52C}" name="Active" dataDxfId="27"/>
    <tableColumn id="37" xr3:uid="{DE50B7AE-5F67-471C-BE48-8BFA5076EDB0}" name="hyper_factor" dataDxfId="26"/>
    <tableColumn id="10" xr3:uid="{494805E4-EBB6-47FD-9BC2-8DAD9FB9D3FA}" name="composite" dataDxfId="25"/>
    <tableColumn id="14" xr3:uid="{608FE572-4016-436E-8625-08926F3A2371}" name="client" dataDxfId="24"/>
    <tableColumn id="13" xr3:uid="{64EF0381-B0C5-4226-B34E-0F9752A4A840}" name="ticker" dataDxfId="23">
      <calculatedColumnFormula>data[[#This Row],[factor_name]]</calculatedColumnFormula>
    </tableColumn>
    <tableColumn id="9" xr3:uid="{5A601067-D384-419C-A711-AD3034F77E28}" name="description" dataDxfId="22">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21">
      <calculatedColumnFormula>_xlfn.XLOOKUP(data[[#This Row],[ticker]],yf_desc[ticker],yf_desc[shortName],"-")</calculatedColumnFormula>
    </tableColumn>
    <tableColumn id="19" xr3:uid="{3A563104-B6B0-465C-9D22-154F5FEA1B83}" name="long_name_yf" dataDxfId="20">
      <calculatedColumnFormula>_xlfn.XLOOKUP(data[[#This Row],[ticker]],yf_desc[ticker],yf_desc[longName],"-")</calculatedColumnFormula>
    </tableColumn>
    <tableColumn id="17" xr3:uid="{A3F200A1-E769-49BA-8121-88EAA1180E80}" name="summary_yf" dataDxfId="19">
      <calculatedColumnFormula>_xlfn.XLOOKUP(data[[#This Row],[ticker]],yf_desc[ticker],yf_desc[longBusinessSummary],"-")</calculatedColumnFormula>
    </tableColumn>
    <tableColumn id="15" xr3:uid="{D49341AB-DA48-473E-8CCB-3A3D04AED743}" name="note" dataDxfId="18"/>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7" dataDxfId="16">
  <autoFilter ref="A1:I45" xr:uid="{6DAD1482-C63D-400D-9F51-F22A8E35CAD8}"/>
  <tableColumns count="9">
    <tableColumn id="1" xr3:uid="{B19D2B17-9AC9-4F1B-B32E-D4F72AAE469F}" name="asset_class" dataDxfId="15"/>
    <tableColumn id="2" xr3:uid="{2C7CF29D-8E72-4B0C-A212-31F2A25D75C9}" name="region" dataDxfId="14"/>
    <tableColumn id="3" xr3:uid="{C7E89EEC-2B5D-4C94-9327-1AC8E33DE708}" name="factor_name" dataDxfId="13"/>
    <tableColumn id="8" xr3:uid="{B3F9004A-8BEB-463E-A746-8189A2AC2B3E}" name="factor_name_new" dataDxfId="12"/>
    <tableColumn id="4" xr3:uid="{51CD7FB3-58FE-4906-B73C-7726C0A9C471}" name="description_override" dataDxfId="11"/>
    <tableColumn id="6" xr3:uid="{3CFF990B-3164-4533-821F-08CE7C6D82CA}" name="Description_GPT" dataDxfId="10"/>
    <tableColumn id="5" xr3:uid="{DD86D53E-A9B4-4387-ABF9-F2625E77982D}" name="Underlying" dataDxfId="9"/>
    <tableColumn id="7" xr3:uid="{D56FFF9A-72FF-42A4-B3D2-2F27AB16AF7A}" name="Active" dataDxfId="8"/>
    <tableColumn id="9" xr3:uid="{8476DFDE-B4B1-4FD9-99B4-DF1F2ABBD7D5}" name="description" dataDxfId="7">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27</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31</v>
      </c>
      <c r="C25" t="s">
        <v>13</v>
      </c>
      <c r="D25" t="str">
        <v>Eurostoxx 50</v>
      </c>
      <c r="E25" t="str">
        <v>SPDR EURO STOXX 50 ETF</v>
      </c>
      <c r="F25" t="e">
        <v>#N/A</v>
      </c>
      <c r="G25" s="7"/>
      <c r="M25" t="b">
        <v>0</v>
      </c>
      <c r="N25" t="str">
        <v>SPDR EURO STOXX 50 ETF</v>
      </c>
      <c r="O25" t="str">
        <v>SPDR EURO STOXX 50 ETF</v>
      </c>
    </row>
    <row r="26" spans="1:15" x14ac:dyDescent="0.25">
      <c r="A26">
        <v>32</v>
      </c>
      <c r="C26" t="s">
        <v>156</v>
      </c>
      <c r="D26" t="str">
        <v>Eurostoxx Banks</v>
      </c>
      <c r="E26" t="str">
        <v>iShares STOXX Europe 600 Banks</v>
      </c>
      <c r="F26" t="str">
        <v>Eurostoxx Banks</v>
      </c>
      <c r="G26" s="7"/>
      <c r="M26">
        <v>0</v>
      </c>
      <c r="N26" t="e">
        <v>#N/A</v>
      </c>
      <c r="O26" t="str">
        <v>iShares STOXX Europe 600 Banks</v>
      </c>
    </row>
    <row r="27" spans="1:15" x14ac:dyDescent="0.25">
      <c r="A27">
        <v>33</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34</v>
      </c>
      <c r="C28" t="s">
        <v>84</v>
      </c>
      <c r="D28" t="str">
        <v>DAX (Germany)</v>
      </c>
      <c r="E28" t="str">
        <v>Xtrackers DAX Equity ETF</v>
      </c>
      <c r="F28" t="str">
        <v>DAX (Germany)</v>
      </c>
      <c r="G28" s="7"/>
      <c r="M28" t="b">
        <v>0</v>
      </c>
      <c r="N28" t="str">
        <v>Xtrackers DAX Equity ETF</v>
      </c>
      <c r="O28" t="str">
        <v>Xtrackers DAX Equity ETF</v>
      </c>
    </row>
    <row r="29" spans="1:15" x14ac:dyDescent="0.25">
      <c r="A29">
        <v>35</v>
      </c>
      <c r="C29" t="s">
        <v>89</v>
      </c>
      <c r="D29" t="str">
        <v>MSCI Canada</v>
      </c>
      <c r="E29" t="str">
        <v>iShares MSCI Canada ETF</v>
      </c>
      <c r="F29" t="e">
        <v>#N/A</v>
      </c>
      <c r="G29" s="7"/>
      <c r="M29">
        <v>0</v>
      </c>
      <c r="N29" t="str">
        <v>iShares MSCI Canada ETF</v>
      </c>
      <c r="O29" t="e">
        <v>#N/A</v>
      </c>
    </row>
    <row r="30" spans="1:15" x14ac:dyDescent="0.25">
      <c r="A30">
        <v>36</v>
      </c>
      <c r="C30" t="s">
        <v>327</v>
      </c>
      <c r="D30" t="str">
        <v>FTSE MIB (Italy)</v>
      </c>
      <c r="E30" t="str">
        <v>iShares MSCI Italy ETF</v>
      </c>
      <c r="F30" t="e">
        <v>#N/A</v>
      </c>
      <c r="G30" s="7"/>
      <c r="M30">
        <v>0</v>
      </c>
      <c r="N30" t="e">
        <v>#N/A</v>
      </c>
      <c r="O30" t="str">
        <v>iShares MSCI Italy ETF</v>
      </c>
    </row>
    <row r="31" spans="1:15" x14ac:dyDescent="0.25">
      <c r="A31">
        <v>37</v>
      </c>
      <c r="C31" t="s">
        <v>95</v>
      </c>
      <c r="D31" t="str">
        <v>CAC 40 (France)</v>
      </c>
      <c r="E31" t="str">
        <v>Lyxor CAC 40 ETF</v>
      </c>
      <c r="F31" t="str">
        <v>CAC 40 (France)</v>
      </c>
      <c r="G31" s="7"/>
      <c r="M31" t="b">
        <v>0</v>
      </c>
      <c r="N31" t="str">
        <v>Lyxor CAC 40 ETF</v>
      </c>
      <c r="O31" t="str">
        <v>Lyxor CAC 40 ETF</v>
      </c>
    </row>
    <row r="32" spans="1:15" x14ac:dyDescent="0.25">
      <c r="A32">
        <v>38</v>
      </c>
      <c r="C32" t="s">
        <v>93</v>
      </c>
      <c r="D32" t="str">
        <v>MSCI Italy</v>
      </c>
      <c r="E32" t="str">
        <v>iShares MSCI Italy ETF</v>
      </c>
      <c r="F32" t="e">
        <v>#N/A</v>
      </c>
      <c r="G32" s="7"/>
      <c r="M32" t="b">
        <v>0</v>
      </c>
      <c r="N32" t="str">
        <v>iShares MSCI Italy ETF</v>
      </c>
      <c r="O32" t="str">
        <v>iShares MSCI Italy ETF</v>
      </c>
    </row>
    <row r="33" spans="1:15" x14ac:dyDescent="0.25">
      <c r="A33">
        <v>39</v>
      </c>
      <c r="C33" t="s">
        <v>330</v>
      </c>
      <c r="D33" t="str">
        <v>IBEX 35 (Spain)</v>
      </c>
      <c r="E33" t="str">
        <v>IBEX 35 ETF</v>
      </c>
      <c r="F33" t="e">
        <v>#N/A</v>
      </c>
      <c r="G33" s="7"/>
      <c r="M33">
        <v>0</v>
      </c>
      <c r="N33" t="e">
        <v>#N/A</v>
      </c>
      <c r="O33" t="str">
        <v>IBEX 35 ETF</v>
      </c>
    </row>
    <row r="34" spans="1:15" x14ac:dyDescent="0.25">
      <c r="A34">
        <v>40</v>
      </c>
      <c r="C34" t="s">
        <v>91</v>
      </c>
      <c r="D34" t="str">
        <v>MSCI Spain</v>
      </c>
      <c r="E34" t="str">
        <v>iShares MSCI Spain ETF</v>
      </c>
      <c r="F34" t="e">
        <v>#N/A</v>
      </c>
      <c r="G34" s="7"/>
      <c r="M34" t="b">
        <v>0</v>
      </c>
      <c r="N34" t="str">
        <v>iShares MSCI Spain ETF</v>
      </c>
      <c r="O34" t="str">
        <v>iShares MSCI Spain ETF</v>
      </c>
    </row>
    <row r="35" spans="1:15" x14ac:dyDescent="0.25">
      <c r="A35">
        <v>41</v>
      </c>
      <c r="C35" t="s">
        <v>324</v>
      </c>
      <c r="D35" t="str">
        <v>Nikkei 225</v>
      </c>
      <c r="E35" t="str">
        <v>Nikkei 225 ETF</v>
      </c>
      <c r="F35" t="e">
        <v>#N/A</v>
      </c>
      <c r="G35" s="7"/>
      <c r="M35" t="b">
        <v>0</v>
      </c>
      <c r="N35" t="str">
        <v>Nikkei 225 ETF</v>
      </c>
      <c r="O35" t="str">
        <v>Nikkei 225 ETF</v>
      </c>
    </row>
    <row r="36" spans="1:15" x14ac:dyDescent="0.25">
      <c r="A36">
        <v>42</v>
      </c>
      <c r="C36" t="s">
        <v>142</v>
      </c>
      <c r="D36" t="str">
        <v>TOPIX</v>
      </c>
      <c r="E36" t="str">
        <v>iShares TOPIX ETF</v>
      </c>
      <c r="F36" t="str">
        <v>Topix (Japan domenstic)</v>
      </c>
      <c r="G36" s="7"/>
      <c r="M36" t="b">
        <v>0</v>
      </c>
      <c r="N36" t="str">
        <v>iShares TOPIX ETF</v>
      </c>
      <c r="O36" t="str">
        <v>iShares TOPIX ETF</v>
      </c>
    </row>
    <row r="37" spans="1:15" x14ac:dyDescent="0.25">
      <c r="A37">
        <v>43</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44</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45</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47</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49</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50</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51</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55</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56</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57</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58</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59</v>
      </c>
      <c r="C48" t="s">
        <v>135</v>
      </c>
      <c r="D48" t="str">
        <v>iShares TIPS Bond ETF</v>
      </c>
      <c r="E48" t="str">
        <v>iShares TIPS Bond ETF</v>
      </c>
      <c r="F48" t="str">
        <v>TIPS ETF</v>
      </c>
      <c r="G48" s="7"/>
      <c r="M48" t="b">
        <v>0</v>
      </c>
      <c r="N48" t="str">
        <v>iShares TIPS Bond ETF</v>
      </c>
      <c r="O48" t="str">
        <v>iShares TIPS Bond ETF</v>
      </c>
    </row>
    <row r="49" spans="1:15" x14ac:dyDescent="0.25">
      <c r="A49">
        <v>60</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61</v>
      </c>
      <c r="C50" t="s">
        <v>53</v>
      </c>
      <c r="D50" t="str">
        <v>iShares MBS ETF</v>
      </c>
      <c r="E50" t="str">
        <v>iShares MBS ETF</v>
      </c>
      <c r="F50" t="e">
        <v>#N/A</v>
      </c>
      <c r="G50" s="7"/>
      <c r="M50" t="b">
        <v>0</v>
      </c>
      <c r="N50" t="str">
        <v>iShares MBS ETF</v>
      </c>
      <c r="O50" t="str">
        <v>iShares MBS ETF</v>
      </c>
    </row>
    <row r="51" spans="1:15" x14ac:dyDescent="0.25">
      <c r="A51">
        <v>62</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63</v>
      </c>
      <c r="C52" t="s">
        <v>15</v>
      </c>
      <c r="D52" t="str">
        <v>AGNC Investment Corp.</v>
      </c>
      <c r="E52" t="str">
        <v>AGNC Investment Corp.</v>
      </c>
      <c r="F52" t="e">
        <v>#N/A</v>
      </c>
      <c r="G52" s="7"/>
      <c r="M52" t="b">
        <v>0</v>
      </c>
      <c r="N52" t="str">
        <v>AGNC Investment Corp.</v>
      </c>
      <c r="O52" t="str">
        <v>AGNC Investment Corp.</v>
      </c>
    </row>
    <row r="53" spans="1:15" x14ac:dyDescent="0.25">
      <c r="A53">
        <v>64</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65</v>
      </c>
      <c r="C54" t="s">
        <v>345</v>
      </c>
      <c r="D54" t="str">
        <v>CMBS</v>
      </c>
      <c r="E54" t="str">
        <v>iShares CMBS ETF</v>
      </c>
      <c r="F54" t="e">
        <v>#N/A</v>
      </c>
      <c r="G54" s="7" t="s">
        <v>345</v>
      </c>
      <c r="M54">
        <v>0</v>
      </c>
      <c r="N54" t="e">
        <v>#N/A</v>
      </c>
      <c r="O54" t="str">
        <v>iShares CMBS ETF</v>
      </c>
    </row>
    <row r="55" spans="1:15" x14ac:dyDescent="0.25">
      <c r="A55">
        <v>66</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67</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68</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69</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70</v>
      </c>
      <c r="C59" t="s">
        <v>57</v>
      </c>
      <c r="D59" t="str">
        <v>SPDR Gold Shares</v>
      </c>
      <c r="E59" t="str">
        <v>SPDR Gold Shares</v>
      </c>
      <c r="F59" t="e">
        <v>#N/A</v>
      </c>
      <c r="G59" s="7"/>
      <c r="M59" t="b">
        <v>0</v>
      </c>
      <c r="N59" t="str">
        <v>SPDR Gold Shares</v>
      </c>
      <c r="O59" t="str">
        <v>SPDR Gold Shares</v>
      </c>
    </row>
    <row r="60" spans="1:15" x14ac:dyDescent="0.25">
      <c r="A60">
        <v>71</v>
      </c>
      <c r="C60" t="s">
        <v>59</v>
      </c>
      <c r="D60" t="str">
        <v>iShares Silver Trust</v>
      </c>
      <c r="E60" t="str">
        <v>iShares Silver Trust</v>
      </c>
      <c r="F60" t="e">
        <v>#N/A</v>
      </c>
      <c r="G60" s="7"/>
      <c r="M60" t="b">
        <v>0</v>
      </c>
      <c r="N60" t="str">
        <v>iShares Silver Trust</v>
      </c>
      <c r="O60" t="str">
        <v>iShares Silver Trust</v>
      </c>
    </row>
    <row r="61" spans="1:15" x14ac:dyDescent="0.25">
      <c r="A61">
        <v>72</v>
      </c>
      <c r="C61" t="s">
        <v>61</v>
      </c>
      <c r="D61" t="str">
        <v>United States Oil Fund</v>
      </c>
      <c r="E61" t="str">
        <v>United States Oil Fund</v>
      </c>
      <c r="F61" t="e">
        <v>#N/A</v>
      </c>
      <c r="G61" s="7"/>
      <c r="M61" t="b">
        <v>0</v>
      </c>
      <c r="N61" t="str">
        <v>United States Oil Fund</v>
      </c>
      <c r="O61" t="str">
        <v>United States Oil Fund</v>
      </c>
    </row>
    <row r="62" spans="1:15" x14ac:dyDescent="0.25">
      <c r="A62">
        <v>75</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79</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81</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86</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59</v>
      </c>
      <c r="D1" cm="1">
        <f t="array" ref="D1:D32">_xlfn.XLOOKUP(_xlfn._TRO_ALL(A:A),data[factor_name],data[Active])</f>
        <v>1</v>
      </c>
    </row>
    <row r="2" spans="1:4" x14ac:dyDescent="0.25">
      <c r="A2" t="s">
        <v>334</v>
      </c>
      <c r="B2">
        <v>60</v>
      </c>
      <c r="D2">
        <v>1</v>
      </c>
    </row>
    <row r="3" spans="1:4" x14ac:dyDescent="0.25">
      <c r="A3" t="s">
        <v>335</v>
      </c>
      <c r="B3">
        <v>65</v>
      </c>
      <c r="D3">
        <v>1</v>
      </c>
    </row>
    <row r="4" spans="1:4" x14ac:dyDescent="0.25">
      <c r="A4" t="s">
        <v>336</v>
      </c>
      <c r="B4">
        <v>64</v>
      </c>
      <c r="D4">
        <v>1</v>
      </c>
    </row>
    <row r="5" spans="1:4" x14ac:dyDescent="0.25">
      <c r="A5" t="s">
        <v>337</v>
      </c>
      <c r="B5">
        <v>70</v>
      </c>
      <c r="D5">
        <v>1</v>
      </c>
    </row>
    <row r="6" spans="1:4" x14ac:dyDescent="0.25">
      <c r="A6" t="s">
        <v>338</v>
      </c>
      <c r="B6">
        <v>47</v>
      </c>
      <c r="D6">
        <v>1</v>
      </c>
    </row>
    <row r="7" spans="1:4" x14ac:dyDescent="0.25">
      <c r="A7" t="s">
        <v>339</v>
      </c>
      <c r="B7">
        <v>50</v>
      </c>
      <c r="D7">
        <v>1</v>
      </c>
    </row>
    <row r="8" spans="1:4" x14ac:dyDescent="0.25">
      <c r="A8" t="s">
        <v>340</v>
      </c>
      <c r="B8">
        <v>49</v>
      </c>
      <c r="D8">
        <v>1</v>
      </c>
    </row>
    <row r="9" spans="1:4" x14ac:dyDescent="0.25">
      <c r="A9" t="s">
        <v>341</v>
      </c>
      <c r="B9">
        <v>51</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8"/>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8">composities[]</f>
        <v>FED</v>
      </c>
      <c r="B2" t="str">
        <v>SHY</v>
      </c>
      <c r="C2">
        <v>1</v>
      </c>
    </row>
    <row r="3" spans="1:3" x14ac:dyDescent="0.25">
      <c r="A3" t="str">
        <v>FED</v>
      </c>
      <c r="B3" t="str">
        <v>BSV</v>
      </c>
      <c r="C3">
        <v>1</v>
      </c>
    </row>
    <row r="4" spans="1:3" x14ac:dyDescent="0.25">
      <c r="A4" t="str">
        <v>AI</v>
      </c>
      <c r="B4" t="str">
        <v>AIQ</v>
      </c>
      <c r="C4">
        <v>1</v>
      </c>
    </row>
    <row r="5" spans="1:3" x14ac:dyDescent="0.25">
      <c r="A5" t="str">
        <v>AI</v>
      </c>
      <c r="B5" t="str">
        <v>QQQ</v>
      </c>
      <c r="C5">
        <v>0.25</v>
      </c>
    </row>
    <row r="6" spans="1:3" x14ac:dyDescent="0.25">
      <c r="A6" t="str">
        <v>AI</v>
      </c>
      <c r="B6" t="str">
        <v>IWM</v>
      </c>
      <c r="C6">
        <v>-0.25</v>
      </c>
    </row>
    <row r="7" spans="1:3" x14ac:dyDescent="0.25">
      <c r="A7" t="str">
        <v>GEOPOLITICS</v>
      </c>
      <c r="B7" t="str">
        <v>GLD</v>
      </c>
      <c r="C7">
        <v>0.65</v>
      </c>
    </row>
    <row r="8" spans="1:3" x14ac:dyDescent="0.25">
      <c r="A8" t="str">
        <v>GEOPOLITICS</v>
      </c>
      <c r="B8" t="str">
        <v>USO</v>
      </c>
      <c r="C8">
        <v>0.3</v>
      </c>
    </row>
    <row r="9" spans="1:3" x14ac:dyDescent="0.25">
      <c r="A9" t="str">
        <v>GEOPOLITICS</v>
      </c>
      <c r="B9" t="str">
        <v>^VIX3M</v>
      </c>
      <c r="C9">
        <v>-0.15</v>
      </c>
    </row>
    <row r="10" spans="1:3" x14ac:dyDescent="0.25">
      <c r="A10" t="str">
        <v>GEOPOLITICS</v>
      </c>
      <c r="B10" t="str">
        <v>FEZ</v>
      </c>
      <c r="C10">
        <v>-0.05</v>
      </c>
    </row>
    <row r="11" spans="1:3" x14ac:dyDescent="0.25">
      <c r="A11" t="str">
        <v>2s10s</v>
      </c>
      <c r="B11" t="str">
        <v>SHY</v>
      </c>
      <c r="C11">
        <v>-3.8633879781420766</v>
      </c>
    </row>
    <row r="12" spans="1:3" x14ac:dyDescent="0.25">
      <c r="A12" t="str">
        <v>2s10s</v>
      </c>
      <c r="B12" t="str">
        <v>IEF</v>
      </c>
      <c r="C12">
        <v>1</v>
      </c>
    </row>
    <row r="13" spans="1:3" x14ac:dyDescent="0.25">
      <c r="A13" t="str">
        <v>XLPXLY</v>
      </c>
      <c r="B13" t="str">
        <v>XLP</v>
      </c>
      <c r="C13">
        <v>1</v>
      </c>
    </row>
    <row r="14" spans="1:3" x14ac:dyDescent="0.25">
      <c r="A14" t="str">
        <v>XLPXLY</v>
      </c>
      <c r="B14" t="str">
        <v>XLY</v>
      </c>
      <c r="C14">
        <v>-1</v>
      </c>
    </row>
    <row r="15" spans="1:3" x14ac:dyDescent="0.25">
      <c r="A15" t="str">
        <v>TRADEWAR</v>
      </c>
      <c r="B15" t="str">
        <v>GLD</v>
      </c>
      <c r="C15">
        <v>0.20547945205479451</v>
      </c>
    </row>
    <row r="16" spans="1:3" x14ac:dyDescent="0.25">
      <c r="A16" t="str">
        <v>TRADEWAR</v>
      </c>
      <c r="B16" t="str">
        <v>FXY</v>
      </c>
      <c r="C16">
        <v>0.29702970297029702</v>
      </c>
    </row>
    <row r="17" spans="1:3" x14ac:dyDescent="0.25">
      <c r="A17" t="str">
        <v>TRADEWAR</v>
      </c>
      <c r="B17" t="str">
        <v>FXF</v>
      </c>
      <c r="C17">
        <v>0.36585365853658536</v>
      </c>
    </row>
    <row r="18" spans="1:3" x14ac:dyDescent="0.25">
      <c r="A18" t="str">
        <v>TRADEWAR</v>
      </c>
      <c r="B18" t="str">
        <v>^VIX3M</v>
      </c>
      <c r="C18">
        <v>-3.7499999999999999E-2</v>
      </c>
    </row>
    <row r="19" spans="1:3" x14ac:dyDescent="0.25">
      <c r="A19" t="str">
        <v>TRADEWAR</v>
      </c>
      <c r="B19" t="str">
        <v>XLP</v>
      </c>
      <c r="C19">
        <v>0.15</v>
      </c>
    </row>
    <row r="20" spans="1:3" x14ac:dyDescent="0.25">
      <c r="A20" t="str">
        <v>TRADEWAR</v>
      </c>
      <c r="B20" t="str">
        <v>XLY</v>
      </c>
      <c r="C20">
        <v>-0.15</v>
      </c>
    </row>
    <row r="21" spans="1:3" x14ac:dyDescent="0.25">
      <c r="A21" t="str">
        <v>IRAN</v>
      </c>
      <c r="B21" t="str">
        <v>USO</v>
      </c>
      <c r="C21">
        <v>1</v>
      </c>
    </row>
    <row r="22" spans="1:3" x14ac:dyDescent="0.25">
      <c r="A22" t="str">
        <v>SEMI-SOFT</v>
      </c>
      <c r="B22" t="str">
        <v>SMH</v>
      </c>
      <c r="C22">
        <v>1</v>
      </c>
    </row>
    <row r="23" spans="1:3" x14ac:dyDescent="0.25">
      <c r="A23" t="str">
        <v>SEMI-SOFT</v>
      </c>
      <c r="B23" t="str">
        <v>IGV</v>
      </c>
      <c r="C23">
        <v>-1</v>
      </c>
    </row>
    <row r="24" spans="1:3" x14ac:dyDescent="0.25">
      <c r="A24" t="str">
        <v>SEMI-SOFT</v>
      </c>
      <c r="B24" t="str">
        <v>QQQ</v>
      </c>
      <c r="C24">
        <v>1</v>
      </c>
    </row>
    <row r="25" spans="1:3" x14ac:dyDescent="0.25">
      <c r="A25" t="str">
        <v>PRIVATES</v>
      </c>
      <c r="B25" t="str">
        <v>PSP</v>
      </c>
      <c r="C25">
        <v>0.5</v>
      </c>
    </row>
    <row r="26" spans="1:3" x14ac:dyDescent="0.25">
      <c r="A26" t="str">
        <v>PRIVATES</v>
      </c>
      <c r="B26" t="str">
        <v>XLF</v>
      </c>
      <c r="C26">
        <v>-0.5</v>
      </c>
    </row>
    <row r="27" spans="1:3" x14ac:dyDescent="0.25">
      <c r="A27" t="str">
        <v>PRIVATES</v>
      </c>
      <c r="B27" t="str">
        <v>BKLN</v>
      </c>
      <c r="C27">
        <v>0.5</v>
      </c>
    </row>
    <row r="28" spans="1:3" x14ac:dyDescent="0.25">
      <c r="A28" t="str">
        <v>PRIVATES</v>
      </c>
      <c r="B28" t="str">
        <v>LQDH</v>
      </c>
      <c r="C28">
        <v>-0.5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46204</v>
      </c>
      <c r="B2">
        <v>0.20547945205479451</v>
      </c>
      <c r="C2">
        <v>0.29702970297029702</v>
      </c>
      <c r="D2">
        <v>0.36585365853658536</v>
      </c>
      <c r="E2">
        <v>-3.7499999999999999E-2</v>
      </c>
      <c r="F2">
        <v>0.15</v>
      </c>
      <c r="G2">
        <v>-0.15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election activeCell="V16" sqref="V16"/>
    </sheetView>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DD5C9-073F-4A44-8C03-0A9453C45B87}">
  <dimension ref="A6:T15"/>
  <sheetViews>
    <sheetView showGridLines="0" workbookViewId="0">
      <selection activeCell="A7" sqref="A7"/>
    </sheetView>
  </sheetViews>
  <sheetFormatPr defaultRowHeight="15" x14ac:dyDescent="0.25"/>
  <sheetData>
    <row r="6" spans="1:20" x14ac:dyDescent="0.25">
      <c r="A6" s="18" t="s">
        <v>322</v>
      </c>
      <c r="B6" s="19" t="s">
        <v>316</v>
      </c>
      <c r="C6" s="19" t="s">
        <v>2</v>
      </c>
      <c r="D6" s="19" t="s">
        <v>466</v>
      </c>
      <c r="E6" s="19" t="s">
        <v>464</v>
      </c>
      <c r="F6" s="19" t="s">
        <v>468</v>
      </c>
      <c r="G6" s="19" t="s">
        <v>325</v>
      </c>
      <c r="H6" s="19" t="s">
        <v>323</v>
      </c>
      <c r="I6" s="19" t="s">
        <v>148</v>
      </c>
      <c r="J6" s="19" t="s">
        <v>101</v>
      </c>
      <c r="K6" s="19" t="s">
        <v>151</v>
      </c>
      <c r="L6" s="19" t="s">
        <v>428</v>
      </c>
      <c r="M6" s="19" t="s">
        <v>445</v>
      </c>
      <c r="N6" s="19" t="s">
        <v>486</v>
      </c>
      <c r="O6" s="19" t="s">
        <v>465</v>
      </c>
      <c r="P6" s="19" t="s">
        <v>19</v>
      </c>
      <c r="Q6" s="19" t="s">
        <v>661</v>
      </c>
      <c r="R6" s="19" t="s">
        <v>660</v>
      </c>
      <c r="S6" s="19" t="s">
        <v>662</v>
      </c>
      <c r="T6" s="20" t="s">
        <v>490</v>
      </c>
    </row>
    <row r="7" spans="1:20" x14ac:dyDescent="0.25">
      <c r="A7" s="16" t="s">
        <v>444</v>
      </c>
      <c r="B7" s="4" t="s">
        <v>40</v>
      </c>
      <c r="C7" s="4" t="s">
        <v>507</v>
      </c>
      <c r="D7" s="4" t="s">
        <v>445</v>
      </c>
      <c r="E7" s="4" t="s">
        <v>454</v>
      </c>
      <c r="F7" s="4" cm="1">
        <f t="array" ref="F7">_xlfn.SWITCH(data[[#This Row],[diffusion_type]],"lognormal",0.0001,"normal",-0.01)*IF(data[[#This Row],[asset_class]]="Vol",1,1)</f>
        <v>1E-4</v>
      </c>
      <c r="G7" s="4"/>
      <c r="H7" s="4"/>
      <c r="I7" s="4"/>
      <c r="J7" s="4" t="e" cm="1">
        <f t="array" ref="J7">_xlfn.XLOOKUP(data[[#This Row],[factor_name]],_xlfn.ANCHORARRAY(composites!$I$2),_xlfn.ANCHORARRAY(composites!$J$2))</f>
        <v>#N/A</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17"/>
    </row>
    <row r="12" spans="1:20" x14ac:dyDescent="0.25">
      <c r="A12" s="13" t="s">
        <v>507</v>
      </c>
      <c r="B12" s="1" t="s">
        <v>175</v>
      </c>
      <c r="C12" s="14">
        <v>1.5</v>
      </c>
    </row>
    <row r="13" spans="1:20" x14ac:dyDescent="0.25">
      <c r="A13" s="12" t="s">
        <v>507</v>
      </c>
      <c r="B13" t="s">
        <v>431</v>
      </c>
      <c r="C13" s="15">
        <v>-1</v>
      </c>
    </row>
    <row r="14" spans="1:20" x14ac:dyDescent="0.25">
      <c r="A14" s="12" t="s">
        <v>507</v>
      </c>
      <c r="B14" t="s">
        <v>5</v>
      </c>
      <c r="C14" s="15">
        <v>1.5</v>
      </c>
    </row>
    <row r="15" spans="1:20" x14ac:dyDescent="0.25">
      <c r="A15" s="12" t="s">
        <v>507</v>
      </c>
      <c r="B15" t="s">
        <v>13</v>
      </c>
      <c r="C15" s="15">
        <v>-1</v>
      </c>
    </row>
  </sheetData>
  <conditionalFormatting sqref="A12:C15">
    <cfRule type="expression" dxfId="6" priority="1">
      <formula>$Q5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J41"/>
  <sheetViews>
    <sheetView showGridLines="0" workbookViewId="0">
      <selection activeCell="F11" sqref="F11"/>
    </sheetView>
  </sheetViews>
  <sheetFormatPr defaultRowHeight="15" x14ac:dyDescent="0.25"/>
  <cols>
    <col min="1" max="1" width="15.42578125" customWidth="1"/>
    <col min="2" max="2" width="13.28515625" customWidth="1"/>
    <col min="3" max="3" width="12" bestFit="1" customWidth="1"/>
    <col min="4" max="13" width="12" customWidth="1"/>
    <col min="22" max="22" width="29.28515625" bestFit="1" customWidth="1"/>
  </cols>
  <sheetData>
    <row r="1" spans="1:36" x14ac:dyDescent="0.25">
      <c r="A1" t="s">
        <v>449</v>
      </c>
      <c r="B1" t="s">
        <v>2</v>
      </c>
      <c r="C1" t="s">
        <v>448</v>
      </c>
      <c r="N1" t="s">
        <v>435</v>
      </c>
      <c r="O1" t="s">
        <v>502</v>
      </c>
    </row>
    <row r="2" spans="1:36" x14ac:dyDescent="0.25">
      <c r="A2" t="s">
        <v>439</v>
      </c>
      <c r="B2" t="s">
        <v>51</v>
      </c>
      <c r="C2">
        <v>1</v>
      </c>
      <c r="E2" cm="1">
        <f t="array" ref="E2:E28">_xlfn.XLOOKUP(composities[portfolio_name],data[factor_name],data[Active])</f>
        <v>1</v>
      </c>
      <c r="H2" t="str" cm="1">
        <f t="array" ref="H2:H28">TEXT(composities[weight],IF(INT(composities[weight]*100)/100=composities[weight],"General","0.00"))</f>
        <v>1</v>
      </c>
      <c r="I2" t="str" cm="1">
        <f t="array" ref="I2:I10">_xlfn.UNIQUE(composities[portfolio_name])</f>
        <v>FED</v>
      </c>
      <c r="J2" t="str" cm="1">
        <f t="array" ref="J2:J10">_xlfn.BYROW(_xlfn.ANCHORARRAY(I2),_xlfn.LAMBDA(_xlpm.portfolio,_xlfn.TEXTJOIN(", ",,_xlfn.BYROW(_xlfn._xlws.FILTER(_xlfn.HSTACK(composities[factor_name],_xlfn.ANCHORARRAY($H$2)),composities[portfolio_name]=_xlpm.portfolio),_xlfn.LAMBDA(_xlpm.factor,_xlfn.TEXTJOIN(" ",,_xlpm.factor))))))</f>
        <v>SHY 1, BSV 1</v>
      </c>
      <c r="X2" t="b" cm="1">
        <f t="array" aca="1" ref="X2:X28" ca="1">composities[portfolio_name]&lt;&gt;OFFSET(composities[portfolio_name],-1,0)</f>
        <v>1</v>
      </c>
      <c r="AE2" t="s">
        <v>430</v>
      </c>
      <c r="AF2" t="s">
        <v>433</v>
      </c>
      <c r="AI2" t="s">
        <v>421</v>
      </c>
      <c r="AJ2" t="s">
        <v>439</v>
      </c>
    </row>
    <row r="3" spans="1:36" x14ac:dyDescent="0.25">
      <c r="A3" t="s">
        <v>439</v>
      </c>
      <c r="B3" t="s">
        <v>447</v>
      </c>
      <c r="C3">
        <v>1</v>
      </c>
      <c r="E3">
        <v>1</v>
      </c>
      <c r="H3" t="str">
        <v>1</v>
      </c>
      <c r="I3" t="str">
        <v>AI</v>
      </c>
      <c r="J3" t="str">
        <v>AIQ 1, QQQ 0.25, IWM -0.25</v>
      </c>
      <c r="X3" t="b">
        <f ca="1"/>
        <v>0</v>
      </c>
      <c r="AD3" t="s">
        <v>175</v>
      </c>
      <c r="AE3">
        <v>1</v>
      </c>
      <c r="AF3" t="s">
        <v>434</v>
      </c>
    </row>
    <row r="4" spans="1:36" x14ac:dyDescent="0.25">
      <c r="A4" t="s">
        <v>421</v>
      </c>
      <c r="B4" t="s">
        <v>403</v>
      </c>
      <c r="C4">
        <v>1</v>
      </c>
      <c r="E4">
        <v>1</v>
      </c>
      <c r="H4" t="str">
        <v>1</v>
      </c>
      <c r="I4" t="str">
        <v>GEOPOLITICS</v>
      </c>
      <c r="J4" t="str">
        <v>GLD 0.65, USO 0.3, ^VIX3M -0.15, FEZ -0.05</v>
      </c>
      <c r="X4" t="b">
        <f ca="1"/>
        <v>1</v>
      </c>
      <c r="AD4" t="s">
        <v>431</v>
      </c>
      <c r="AE4">
        <v>-1</v>
      </c>
      <c r="AF4" t="s">
        <v>434</v>
      </c>
      <c r="AG4" t="s">
        <v>432</v>
      </c>
    </row>
    <row r="5" spans="1:36" x14ac:dyDescent="0.25">
      <c r="A5" t="s">
        <v>421</v>
      </c>
      <c r="B5" t="s">
        <v>7</v>
      </c>
      <c r="C5">
        <v>0.25</v>
      </c>
      <c r="E5">
        <v>1</v>
      </c>
      <c r="H5" t="str">
        <v>0.25</v>
      </c>
      <c r="I5" t="str">
        <v>2s10s</v>
      </c>
      <c r="J5" t="str">
        <v>SHY -3.86, IEF 1</v>
      </c>
      <c r="X5" t="b">
        <f ca="1"/>
        <v>0</v>
      </c>
      <c r="AD5" t="s">
        <v>5</v>
      </c>
      <c r="AE5">
        <v>1</v>
      </c>
      <c r="AF5" t="s">
        <v>434</v>
      </c>
    </row>
    <row r="6" spans="1:36" x14ac:dyDescent="0.25">
      <c r="A6" t="s">
        <v>421</v>
      </c>
      <c r="B6" t="s">
        <v>5</v>
      </c>
      <c r="C6">
        <v>-0.25</v>
      </c>
      <c r="E6">
        <v>1</v>
      </c>
      <c r="H6" t="str">
        <v>-0.25</v>
      </c>
      <c r="I6" t="str">
        <v>XLPXLY</v>
      </c>
      <c r="J6" t="str">
        <v>XLP 1, XLY -1</v>
      </c>
      <c r="X6" t="b">
        <f ca="1"/>
        <v>0</v>
      </c>
      <c r="AD6" t="s">
        <v>8</v>
      </c>
      <c r="AE6">
        <v>-1</v>
      </c>
      <c r="AF6" t="s">
        <v>434</v>
      </c>
    </row>
    <row r="7" spans="1:36" x14ac:dyDescent="0.25">
      <c r="A7" t="s">
        <v>450</v>
      </c>
      <c r="B7" s="4" t="s">
        <v>57</v>
      </c>
      <c r="C7">
        <v>0.65</v>
      </c>
      <c r="E7">
        <v>1</v>
      </c>
      <c r="H7" t="str">
        <v>0.65</v>
      </c>
      <c r="I7" t="str">
        <v>TRADEWAR</v>
      </c>
      <c r="J7" t="str">
        <v>GLD 0.21, FXY 0.30, FXF 0.37, ^VIX3M -0.04, XLP 0.15, XLY -0.15</v>
      </c>
      <c r="X7" t="b">
        <f ca="1"/>
        <v>1</v>
      </c>
      <c r="AD7" t="s">
        <v>236</v>
      </c>
      <c r="AE7">
        <v>1</v>
      </c>
      <c r="AF7" t="s">
        <v>435</v>
      </c>
      <c r="AG7" t="s">
        <v>436</v>
      </c>
    </row>
    <row r="8" spans="1:36" x14ac:dyDescent="0.25">
      <c r="A8" t="s">
        <v>450</v>
      </c>
      <c r="B8" t="s">
        <v>61</v>
      </c>
      <c r="C8">
        <v>0.3</v>
      </c>
      <c r="E8">
        <v>1</v>
      </c>
      <c r="H8" t="str">
        <v>0.3</v>
      </c>
      <c r="I8" t="str">
        <v>IRAN</v>
      </c>
      <c r="J8" t="str">
        <v>USO 1</v>
      </c>
      <c r="X8" t="b">
        <f ca="1"/>
        <v>0</v>
      </c>
      <c r="AA8" t="s">
        <v>403</v>
      </c>
      <c r="AB8">
        <v>1</v>
      </c>
      <c r="AD8" t="s">
        <v>238</v>
      </c>
      <c r="AE8">
        <v>-1</v>
      </c>
      <c r="AF8" t="s">
        <v>435</v>
      </c>
    </row>
    <row r="9" spans="1:36" x14ac:dyDescent="0.25">
      <c r="A9" t="s">
        <v>450</v>
      </c>
      <c r="B9" t="s">
        <v>495</v>
      </c>
      <c r="C9">
        <v>-0.15</v>
      </c>
      <c r="E9">
        <v>1</v>
      </c>
      <c r="H9" t="str">
        <v>-0.15</v>
      </c>
      <c r="I9" t="str">
        <v>SEMI-SOFT</v>
      </c>
      <c r="J9" t="str">
        <v>SMH 1, IGV -1, QQQ 1</v>
      </c>
      <c r="X9" t="b">
        <f ca="1"/>
        <v>0</v>
      </c>
      <c r="AA9" t="s">
        <v>7</v>
      </c>
      <c r="AB9">
        <v>1</v>
      </c>
      <c r="AD9" t="s">
        <v>135</v>
      </c>
      <c r="AE9">
        <v>1</v>
      </c>
    </row>
    <row r="10" spans="1:36" x14ac:dyDescent="0.25">
      <c r="A10" t="s">
        <v>450</v>
      </c>
      <c r="B10" t="s">
        <v>13</v>
      </c>
      <c r="C10">
        <v>-0.05</v>
      </c>
      <c r="E10">
        <v>1</v>
      </c>
      <c r="F10" t="s">
        <v>728</v>
      </c>
      <c r="H10" t="str">
        <v>-0.05</v>
      </c>
      <c r="I10" t="str">
        <v>PRIVATES</v>
      </c>
      <c r="J10" t="str">
        <v>PSP 0.5, XLF -0.5, BKLN 0.5, LQDH -0.5</v>
      </c>
      <c r="X10" t="b">
        <f ca="1"/>
        <v>0</v>
      </c>
      <c r="AA10" t="s">
        <v>5</v>
      </c>
      <c r="AB10">
        <v>-1</v>
      </c>
      <c r="AD10" t="s">
        <v>49</v>
      </c>
      <c r="AE10">
        <v>-1</v>
      </c>
      <c r="AG10" t="s">
        <v>437</v>
      </c>
    </row>
    <row r="11" spans="1:36" x14ac:dyDescent="0.25">
      <c r="A11" t="s">
        <v>451</v>
      </c>
      <c r="B11" t="s">
        <v>51</v>
      </c>
      <c r="C11">
        <f>-C12*Y15/Y13</f>
        <v>-3.8633879781420766</v>
      </c>
      <c r="E11">
        <v>1</v>
      </c>
      <c r="H11" t="str">
        <v>-3.86</v>
      </c>
      <c r="X11" t="b">
        <f ca="1"/>
        <v>1</v>
      </c>
      <c r="AD11" t="s">
        <v>403</v>
      </c>
      <c r="AI11">
        <v>1</v>
      </c>
    </row>
    <row r="12" spans="1:36" x14ac:dyDescent="0.25">
      <c r="A12" t="s">
        <v>451</v>
      </c>
      <c r="B12" t="s">
        <v>131</v>
      </c>
      <c r="C12">
        <v>1</v>
      </c>
      <c r="E12">
        <v>1</v>
      </c>
      <c r="H12" t="str">
        <v>1</v>
      </c>
      <c r="X12" t="b">
        <f ca="1"/>
        <v>0</v>
      </c>
      <c r="AD12" t="s">
        <v>438</v>
      </c>
      <c r="AI12">
        <v>-1</v>
      </c>
    </row>
    <row r="13" spans="1:36" x14ac:dyDescent="0.25">
      <c r="A13" t="s">
        <v>503</v>
      </c>
      <c r="B13" t="s">
        <v>182</v>
      </c>
      <c r="C13" s="8">
        <v>1</v>
      </c>
      <c r="E13">
        <v>1</v>
      </c>
      <c r="H13" t="str">
        <v>1</v>
      </c>
      <c r="X13" t="b">
        <f ca="1"/>
        <v>1</v>
      </c>
      <c r="Y13">
        <v>1.83</v>
      </c>
      <c r="AD13" t="s">
        <v>440</v>
      </c>
    </row>
    <row r="14" spans="1:36" x14ac:dyDescent="0.25">
      <c r="A14" t="s">
        <v>503</v>
      </c>
      <c r="B14" t="s">
        <v>178</v>
      </c>
      <c r="C14" s="8">
        <v>-1</v>
      </c>
      <c r="E14">
        <v>1</v>
      </c>
      <c r="H14" t="str">
        <v>-1</v>
      </c>
      <c r="X14" t="b">
        <f ca="1"/>
        <v>0</v>
      </c>
    </row>
    <row r="15" spans="1:36" x14ac:dyDescent="0.25">
      <c r="A15" t="s">
        <v>500</v>
      </c>
      <c r="B15" t="s">
        <v>57</v>
      </c>
      <c r="C15" s="8" cm="1">
        <f t="array" ref="C15">O18/N18*$P$18/SUM(ABS(($O$18:$O$22)))</f>
        <v>0.20547945205479451</v>
      </c>
      <c r="E15">
        <v>1</v>
      </c>
      <c r="H15" t="str">
        <v>0.21</v>
      </c>
      <c r="X15" t="b">
        <f ca="1"/>
        <v>1</v>
      </c>
      <c r="Y15">
        <v>7.07</v>
      </c>
      <c r="Z15">
        <f>Y15/Y13</f>
        <v>3.8633879781420766</v>
      </c>
      <c r="AD15" t="s">
        <v>441</v>
      </c>
    </row>
    <row r="16" spans="1:36" x14ac:dyDescent="0.25">
      <c r="A16" t="s">
        <v>500</v>
      </c>
      <c r="B16" t="s">
        <v>72</v>
      </c>
      <c r="C16" s="8">
        <f>O19/N19*$P$18/COUNT($O$18:$O$22)</f>
        <v>0.29702970297029702</v>
      </c>
      <c r="D16" s="8"/>
      <c r="E16">
        <v>1</v>
      </c>
      <c r="G16" s="8"/>
      <c r="H16" s="8" t="str">
        <v>0.30</v>
      </c>
      <c r="I16" s="8"/>
      <c r="J16" s="8"/>
      <c r="K16" s="8"/>
      <c r="L16" s="8"/>
      <c r="M16" s="8"/>
      <c r="O16">
        <v>3</v>
      </c>
      <c r="Q16" t="s">
        <v>503</v>
      </c>
      <c r="R16">
        <v>22</v>
      </c>
      <c r="X16" t="b">
        <f ca="1"/>
        <v>0</v>
      </c>
    </row>
    <row r="17" spans="1:26" x14ac:dyDescent="0.25">
      <c r="A17" t="s">
        <v>500</v>
      </c>
      <c r="B17" t="s">
        <v>497</v>
      </c>
      <c r="C17" s="8">
        <f>O20/N20*$P$18/COUNT($O$18:$O$22)</f>
        <v>0.36585365853658536</v>
      </c>
      <c r="D17" s="8"/>
      <c r="E17">
        <v>1</v>
      </c>
      <c r="G17" s="8"/>
      <c r="H17" s="8" t="str">
        <v>0.37</v>
      </c>
      <c r="I17" s="8"/>
      <c r="J17" s="8"/>
      <c r="K17" s="8"/>
      <c r="L17" s="8"/>
      <c r="M17" s="8"/>
      <c r="R17">
        <v>16</v>
      </c>
      <c r="X17" t="b">
        <f ca="1"/>
        <v>0</v>
      </c>
    </row>
    <row r="18" spans="1:26" x14ac:dyDescent="0.25">
      <c r="A18" t="s">
        <v>500</v>
      </c>
      <c r="B18" t="s">
        <v>495</v>
      </c>
      <c r="C18" s="8">
        <f>O21/N21*$P$18/COUNT($O$18:$O$22)</f>
        <v>-3.7499999999999999E-2</v>
      </c>
      <c r="D18" s="8"/>
      <c r="E18">
        <v>1</v>
      </c>
      <c r="G18" s="8"/>
      <c r="H18" s="8" t="str">
        <v>-0.04</v>
      </c>
      <c r="I18" s="8"/>
      <c r="J18" s="8"/>
      <c r="K18" s="8"/>
      <c r="L18" s="8"/>
      <c r="M18" s="8"/>
      <c r="N18">
        <v>14.6</v>
      </c>
      <c r="O18">
        <v>1</v>
      </c>
      <c r="P18" s="9">
        <v>15</v>
      </c>
      <c r="W18" cm="1">
        <f t="array" ref="W18:W21">C15:C18*N18:N21</f>
        <v>2.9999999999999996</v>
      </c>
      <c r="X18" t="b">
        <f ca="1"/>
        <v>0</v>
      </c>
    </row>
    <row r="19" spans="1:26" x14ac:dyDescent="0.25">
      <c r="A19" t="s">
        <v>500</v>
      </c>
      <c r="B19" t="str">
        <f t="shared" ref="B19:B20" si="0">B13</f>
        <v>XLP</v>
      </c>
      <c r="C19" s="8">
        <f>O22/N22*$P$18/COUNT($O$18:$O$22)</f>
        <v>0.15</v>
      </c>
      <c r="D19" s="8"/>
      <c r="E19">
        <v>1</v>
      </c>
      <c r="G19" s="8"/>
      <c r="H19" s="8" t="str">
        <v>0.15</v>
      </c>
      <c r="I19" s="8"/>
      <c r="J19" s="8"/>
      <c r="K19" s="8"/>
      <c r="L19" s="8"/>
      <c r="M19" s="8"/>
      <c r="N19">
        <v>10.1</v>
      </c>
      <c r="O19">
        <v>1</v>
      </c>
      <c r="W19">
        <v>2.9999999999999996</v>
      </c>
      <c r="X19" t="b">
        <f ca="1"/>
        <v>0</v>
      </c>
    </row>
    <row r="20" spans="1:26" x14ac:dyDescent="0.25">
      <c r="A20" t="s">
        <v>500</v>
      </c>
      <c r="B20" t="str">
        <f t="shared" si="0"/>
        <v>XLY</v>
      </c>
      <c r="C20" s="8">
        <f>-C19</f>
        <v>-0.15</v>
      </c>
      <c r="D20" s="8"/>
      <c r="E20">
        <v>1</v>
      </c>
      <c r="G20" s="8"/>
      <c r="H20" s="8" t="str">
        <v>-0.15</v>
      </c>
      <c r="I20" s="8"/>
      <c r="J20" s="8"/>
      <c r="K20" s="8"/>
      <c r="L20" s="8"/>
      <c r="M20" s="8"/>
      <c r="N20">
        <v>8.1999999999999993</v>
      </c>
      <c r="O20">
        <v>1</v>
      </c>
      <c r="W20">
        <v>2.9999999999999996</v>
      </c>
      <c r="X20" t="b">
        <f ca="1"/>
        <v>0</v>
      </c>
      <c r="Z20" t="s">
        <v>501</v>
      </c>
    </row>
    <row r="21" spans="1:26" x14ac:dyDescent="0.25">
      <c r="A21" t="s">
        <v>722</v>
      </c>
      <c r="B21" t="s">
        <v>61</v>
      </c>
      <c r="C21" s="8">
        <v>1</v>
      </c>
      <c r="D21" s="8"/>
      <c r="E21">
        <v>1</v>
      </c>
      <c r="G21" s="8"/>
      <c r="H21" s="8" t="str">
        <v>1</v>
      </c>
      <c r="I21" s="8"/>
      <c r="J21" s="8"/>
      <c r="K21" s="8"/>
      <c r="L21" s="8"/>
      <c r="M21" s="8"/>
      <c r="N21">
        <v>80</v>
      </c>
      <c r="O21">
        <v>-1</v>
      </c>
      <c r="W21">
        <v>-3</v>
      </c>
      <c r="X21" t="b">
        <f ca="1"/>
        <v>1</v>
      </c>
    </row>
    <row r="22" spans="1:26" x14ac:dyDescent="0.25">
      <c r="A22" t="s">
        <v>723</v>
      </c>
      <c r="B22" t="s">
        <v>710</v>
      </c>
      <c r="C22" s="8">
        <v>1</v>
      </c>
      <c r="D22" s="8"/>
      <c r="E22">
        <v>1</v>
      </c>
      <c r="G22" s="8"/>
      <c r="H22" s="8" t="str">
        <v>1</v>
      </c>
      <c r="I22" s="8"/>
      <c r="J22" s="8"/>
      <c r="K22" s="8"/>
      <c r="L22" s="8"/>
      <c r="M22" s="8"/>
      <c r="N22">
        <v>20</v>
      </c>
      <c r="O22">
        <v>1</v>
      </c>
      <c r="X22" t="b">
        <f ca="1"/>
        <v>1</v>
      </c>
    </row>
    <row r="23" spans="1:26" x14ac:dyDescent="0.25">
      <c r="A23" t="s">
        <v>723</v>
      </c>
      <c r="B23" t="s">
        <v>711</v>
      </c>
      <c r="C23" s="8">
        <v>-1</v>
      </c>
      <c r="D23" s="8"/>
      <c r="E23">
        <v>1</v>
      </c>
      <c r="G23" s="8"/>
      <c r="H23" s="8" t="str">
        <v>-1</v>
      </c>
      <c r="I23" s="8"/>
      <c r="J23" s="8"/>
      <c r="K23" s="8"/>
      <c r="L23" s="8"/>
      <c r="M23" s="8"/>
      <c r="X23" t="b">
        <f ca="1"/>
        <v>0</v>
      </c>
    </row>
    <row r="24" spans="1:26" x14ac:dyDescent="0.25">
      <c r="A24" t="s">
        <v>723</v>
      </c>
      <c r="B24" t="s">
        <v>7</v>
      </c>
      <c r="C24" s="8">
        <v>1</v>
      </c>
      <c r="E24">
        <v>1</v>
      </c>
      <c r="H24" t="str">
        <v>1</v>
      </c>
      <c r="X24" t="b">
        <f ca="1"/>
        <v>0</v>
      </c>
    </row>
    <row r="25" spans="1:26" x14ac:dyDescent="0.25">
      <c r="A25" t="s">
        <v>727</v>
      </c>
      <c r="B25" t="s">
        <v>724</v>
      </c>
      <c r="C25" s="8">
        <v>0.5</v>
      </c>
      <c r="E25">
        <v>1</v>
      </c>
      <c r="H25" t="str">
        <v>0.5</v>
      </c>
      <c r="X25" t="b">
        <f ca="1"/>
        <v>1</v>
      </c>
    </row>
    <row r="26" spans="1:26" x14ac:dyDescent="0.25">
      <c r="A26" t="s">
        <v>727</v>
      </c>
      <c r="B26" t="s">
        <v>175</v>
      </c>
      <c r="C26" s="8">
        <v>-0.5</v>
      </c>
      <c r="E26">
        <v>1</v>
      </c>
      <c r="H26" t="str">
        <v>-0.5</v>
      </c>
      <c r="X26" t="b">
        <f ca="1"/>
        <v>0</v>
      </c>
    </row>
    <row r="27" spans="1:26" x14ac:dyDescent="0.25">
      <c r="A27" t="s">
        <v>727</v>
      </c>
      <c r="B27" t="s">
        <v>293</v>
      </c>
      <c r="C27" s="8">
        <v>0.5</v>
      </c>
      <c r="E27">
        <v>1</v>
      </c>
      <c r="H27" t="str">
        <v>0.5</v>
      </c>
      <c r="X27" t="b">
        <f ca="1"/>
        <v>0</v>
      </c>
    </row>
    <row r="28" spans="1:26" x14ac:dyDescent="0.25">
      <c r="A28" t="s">
        <v>727</v>
      </c>
      <c r="B28" t="s">
        <v>347</v>
      </c>
      <c r="C28" s="8">
        <v>-0.5</v>
      </c>
      <c r="E28">
        <v>1</v>
      </c>
      <c r="H28" t="str">
        <v>-0.5</v>
      </c>
      <c r="X28" t="b">
        <f ca="1"/>
        <v>0</v>
      </c>
    </row>
    <row r="29" spans="1:26" x14ac:dyDescent="0.25">
      <c r="C29" s="8"/>
    </row>
    <row r="30" spans="1:26" x14ac:dyDescent="0.25">
      <c r="C30" s="8"/>
    </row>
    <row r="31" spans="1:26" x14ac:dyDescent="0.25">
      <c r="C31" s="8"/>
    </row>
    <row r="32" spans="1:26" x14ac:dyDescent="0.25">
      <c r="C32" s="8"/>
    </row>
    <row r="33" spans="1:26" x14ac:dyDescent="0.25">
      <c r="C33" s="8"/>
    </row>
    <row r="34" spans="1:26" x14ac:dyDescent="0.25">
      <c r="Q34" t="e" vm="1">
        <f>_xlfn.TEXTJOIN(", ",,_xlfn.ANCHORARRAY(Q36))</f>
        <v>#VALUE!</v>
      </c>
    </row>
    <row r="36" spans="1:26" x14ac:dyDescent="0.25">
      <c r="D36" s="8"/>
      <c r="G36" s="8"/>
      <c r="H36" s="8"/>
      <c r="I36" s="8"/>
      <c r="J36" s="8"/>
      <c r="K36" s="8"/>
      <c r="L36" s="8"/>
      <c r="M36" s="8"/>
      <c r="N36">
        <v>14.6</v>
      </c>
      <c r="O36">
        <v>3</v>
      </c>
      <c r="Q36" t="e" cm="1" vm="2">
        <f t="array" ref="Q36">_xlfn._xlws.FILTER(composities[[factor_name]:[weight]],composities[portfolio_name]="ELECTION")</f>
        <v>#VALUE!</v>
      </c>
      <c r="T36" t="str" cm="1">
        <f t="array" ref="T36:U37">_xlfn._xlws.FILTER(composities[[factor_name]:[weight]],composities[portfolio_name]="2s10s")</f>
        <v>SHY</v>
      </c>
      <c r="U36">
        <v>-3.8633879781420766</v>
      </c>
      <c r="V36" t="e" cm="1" vm="2">
        <f t="array" ref="V36">_xlfn.LET(_xlpm.f,_xlfn._xlws.FILTER(composities[[factor_name]:[weight]],composities[portfolio_name]="ELECTION"),_xlfn.TEXTJOIN("; ",,_xlfn.BYROW(_xlpm.f,_xlfn.LAMBDA(_xlpm.row,_xlfn.TEXTJOIN(" ",,_xlpm.row)))))</f>
        <v>#VALUE!</v>
      </c>
      <c r="W36" cm="1">
        <f t="array" ref="W36:W39">C38:C41*N36:N39</f>
        <v>3</v>
      </c>
    </row>
    <row r="37" spans="1:26" x14ac:dyDescent="0.25">
      <c r="D37" s="8"/>
      <c r="G37" s="8"/>
      <c r="H37" s="8"/>
      <c r="I37" s="8"/>
      <c r="J37" s="8"/>
      <c r="K37" s="8"/>
      <c r="L37" s="8"/>
      <c r="M37" s="8"/>
      <c r="N37">
        <v>10.1</v>
      </c>
      <c r="O37">
        <v>3</v>
      </c>
      <c r="T37" t="str">
        <v>IEF</v>
      </c>
      <c r="U37">
        <v>1</v>
      </c>
      <c r="W37">
        <v>2.9999999999999996</v>
      </c>
    </row>
    <row r="38" spans="1:26" x14ac:dyDescent="0.25">
      <c r="A38" t="s">
        <v>504</v>
      </c>
      <c r="B38" t="s">
        <v>57</v>
      </c>
      <c r="C38" s="8">
        <f>O36/N36</f>
        <v>0.20547945205479454</v>
      </c>
      <c r="D38" s="8"/>
      <c r="G38" s="8"/>
      <c r="H38" s="8"/>
      <c r="I38" s="8"/>
      <c r="J38" s="8"/>
      <c r="K38" s="8"/>
      <c r="L38" s="8"/>
      <c r="M38" s="8"/>
      <c r="N38">
        <v>8.1999999999999993</v>
      </c>
      <c r="O38">
        <v>3</v>
      </c>
      <c r="W38">
        <v>3</v>
      </c>
      <c r="Z38" t="s">
        <v>501</v>
      </c>
    </row>
    <row r="39" spans="1:26" x14ac:dyDescent="0.25">
      <c r="A39" t="s">
        <v>504</v>
      </c>
      <c r="B39" t="s">
        <v>72</v>
      </c>
      <c r="C39" s="8">
        <f>O37/N37</f>
        <v>0.29702970297029702</v>
      </c>
      <c r="D39" s="8"/>
      <c r="G39" s="8"/>
      <c r="H39" s="8"/>
      <c r="I39" s="8"/>
      <c r="J39" s="8"/>
      <c r="K39" s="8"/>
      <c r="L39" s="8"/>
      <c r="M39" s="8"/>
      <c r="N39">
        <v>80</v>
      </c>
      <c r="O39">
        <f>-SUM(O36:O38)</f>
        <v>-9</v>
      </c>
      <c r="W39">
        <v>-9</v>
      </c>
    </row>
    <row r="40" spans="1:26" x14ac:dyDescent="0.25">
      <c r="A40" t="s">
        <v>504</v>
      </c>
      <c r="B40" t="s">
        <v>497</v>
      </c>
      <c r="C40" s="8">
        <f>O38/N38</f>
        <v>0.36585365853658541</v>
      </c>
    </row>
    <row r="41" spans="1:26" x14ac:dyDescent="0.25">
      <c r="A41" t="s">
        <v>504</v>
      </c>
      <c r="B41" t="s">
        <v>495</v>
      </c>
      <c r="C41" s="8">
        <f>O39/N39</f>
        <v>-0.1125</v>
      </c>
    </row>
  </sheetData>
  <conditionalFormatting sqref="A2:C10">
    <cfRule type="expression" dxfId="5" priority="38">
      <formula>$Q1048571</formula>
    </cfRule>
  </conditionalFormatting>
  <conditionalFormatting sqref="A11:C18 A25:C28">
    <cfRule type="expression" dxfId="4" priority="41">
      <formula>$T6</formula>
    </cfRule>
  </conditionalFormatting>
  <conditionalFormatting sqref="A19:C24">
    <cfRule type="expression" dxfId="3" priority="40">
      <formula>$T15</formula>
    </cfRule>
  </conditionalFormatting>
  <conditionalFormatting sqref="A29:C31">
    <cfRule type="expression" dxfId="2" priority="44">
      <formula>$T21</formula>
    </cfRule>
  </conditionalFormatting>
  <conditionalFormatting sqref="A32:C33">
    <cfRule type="expression" dxfId="1" priority="42">
      <formula>$T19</formula>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10"/>
  <sheetViews>
    <sheetView showGridLines="0" tabSelected="1" topLeftCell="C14" workbookViewId="0">
      <selection activeCell="J28" sqref="J28"/>
    </sheetView>
  </sheetViews>
  <sheetFormatPr defaultRowHeight="15" x14ac:dyDescent="0.25"/>
  <cols>
    <col min="1" max="1" width="12.28515625" customWidth="1"/>
    <col min="2" max="2" width="8.42578125" customWidth="1"/>
    <col min="3" max="3" width="13.28515625" bestFit="1" customWidth="1"/>
    <col min="5" max="5" width="10.140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18" t="s">
        <v>322</v>
      </c>
      <c r="B1" s="19" t="s">
        <v>316</v>
      </c>
      <c r="C1" s="19" t="s">
        <v>2</v>
      </c>
      <c r="D1" s="19" t="s">
        <v>466</v>
      </c>
      <c r="E1" s="19" t="s">
        <v>464</v>
      </c>
      <c r="F1" s="19" t="s">
        <v>468</v>
      </c>
      <c r="G1" s="19" t="s">
        <v>325</v>
      </c>
      <c r="H1" s="19" t="s">
        <v>323</v>
      </c>
      <c r="I1" s="19" t="s">
        <v>148</v>
      </c>
      <c r="J1" s="19" t="s">
        <v>101</v>
      </c>
      <c r="K1" s="19" t="s">
        <v>151</v>
      </c>
      <c r="L1" s="19" t="s">
        <v>428</v>
      </c>
      <c r="M1" s="19" t="s">
        <v>445</v>
      </c>
      <c r="N1" s="19" t="s">
        <v>486</v>
      </c>
      <c r="O1" s="19" t="s">
        <v>465</v>
      </c>
      <c r="P1" s="19" t="s">
        <v>19</v>
      </c>
      <c r="Q1" s="19" t="s">
        <v>661</v>
      </c>
      <c r="R1" s="19" t="s">
        <v>660</v>
      </c>
      <c r="S1" s="19" t="s">
        <v>662</v>
      </c>
      <c r="T1" s="20"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0</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724</v>
      </c>
      <c r="D27" s="4" t="s">
        <v>455</v>
      </c>
      <c r="E27" s="4" t="s">
        <v>454</v>
      </c>
      <c r="F27" s="4" cm="1">
        <f t="array" ref="F27">_xlfn.SWITCH(data[[#This Row],[diffusion_type]],"lognormal",0.0001,"normal",-0.01)*IF(data[[#This Row],[asset_class]]="Vol",1,1)</f>
        <v>1E-4</v>
      </c>
      <c r="G27" s="4"/>
      <c r="H27" s="4" t="s">
        <v>726</v>
      </c>
      <c r="I27" s="4" t="s">
        <v>725</v>
      </c>
      <c r="J27" s="4"/>
      <c r="K27" s="4">
        <v>1</v>
      </c>
      <c r="L27" s="4">
        <v>0</v>
      </c>
      <c r="M27" s="4">
        <v>0</v>
      </c>
      <c r="N27" s="4"/>
      <c r="O27" s="4" t="str">
        <f>data[[#This Row],[factor_name]]</f>
        <v>PSP</v>
      </c>
      <c r="P27" s="4" t="str" cm="1">
        <f t="array" ref="P27">_xlfn.IFS(data[[#This Row],[description_override]]&lt;&gt;"",data[[#This Row],[description_override]],data[[#This Row],[Description_GPT]]&lt;&gt;"",data[[#This Row],[Description_GPT]],data[[#This Row],[Underlying]]&lt;&gt;"",data[[#This Row],[Underlying]],TRUE,"-")</f>
        <v>Private Equity</v>
      </c>
      <c r="Q27" s="4" t="str">
        <f>_xlfn.XLOOKUP(data[[#This Row],[ticker]],yf_desc[ticker],yf_desc[shortName],"-")</f>
        <v>-</v>
      </c>
      <c r="R27" s="4" t="str">
        <f>_xlfn.XLOOKUP(data[[#This Row],[ticker]],yf_desc[ticker],yf_desc[longName],"-")</f>
        <v>-</v>
      </c>
      <c r="S27" s="4" t="str">
        <f>_xlfn.XLOOKUP(data[[#This Row],[ticker]],yf_desc[ticker],yf_desc[longBusinessSummary],"-")</f>
        <v>-</v>
      </c>
      <c r="T27" s="4"/>
    </row>
    <row r="28" spans="1:20" x14ac:dyDescent="0.25">
      <c r="A28" s="4" t="s">
        <v>39</v>
      </c>
      <c r="B28" s="4" t="s">
        <v>40</v>
      </c>
      <c r="C28" s="4" t="s">
        <v>367</v>
      </c>
      <c r="D28" s="4" t="s">
        <v>455</v>
      </c>
      <c r="E28" s="4" t="s">
        <v>454</v>
      </c>
      <c r="F28" s="4" cm="1">
        <f t="array" ref="F28">_xlfn.SWITCH(data[[#This Row],[diffusion_type]],"lognormal",0.0001,"normal",-0.01)*IF(data[[#This Row],[asset_class]]="Vol",1,1)</f>
        <v>1E-4</v>
      </c>
      <c r="G28" s="4"/>
      <c r="H28" s="4" t="s">
        <v>423</v>
      </c>
      <c r="I28" s="4" t="s">
        <v>368</v>
      </c>
      <c r="J28" s="4"/>
      <c r="K28" s="4">
        <v>1</v>
      </c>
      <c r="L28" s="4">
        <v>0</v>
      </c>
      <c r="M28" s="4">
        <v>0</v>
      </c>
      <c r="N28" s="4">
        <v>0</v>
      </c>
      <c r="O28" s="4" t="str">
        <f>data[[#This Row],[factor_name]]</f>
        <v>PFF</v>
      </c>
      <c r="P28" s="4" t="str" cm="1">
        <f t="array" ref="P28">_xlfn.IFS(data[[#This Row],[description_override]]&lt;&gt;"",data[[#This Row],[description_override]],data[[#This Row],[Description_GPT]]&lt;&gt;"",data[[#This Row],[Description_GPT]],data[[#This Row],[Underlying]]&lt;&gt;"",data[[#This Row],[Underlying]],TRUE,"-")</f>
        <v>Preferred</v>
      </c>
      <c r="Q28" s="4" t="str">
        <f>_xlfn.XLOOKUP(data[[#This Row],[ticker]],yf_desc[ticker],yf_desc[shortName],"-")</f>
        <v>iShares Preferred and Income Se</v>
      </c>
      <c r="R28" s="4" t="str">
        <f>_xlfn.XLOOKUP(data[[#This Row],[ticker]],yf_desc[ticker],yf_desc[longName],"-")</f>
        <v>iShares Preferred and Income Securities ETF</v>
      </c>
      <c r="S28"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8" s="4"/>
    </row>
    <row r="29" spans="1:20" x14ac:dyDescent="0.25">
      <c r="A29" s="4" t="s">
        <v>39</v>
      </c>
      <c r="B29" s="4" t="s">
        <v>40</v>
      </c>
      <c r="C29" s="4" t="s">
        <v>730</v>
      </c>
      <c r="D29" s="4" t="s">
        <v>455</v>
      </c>
      <c r="E29" s="4" t="s">
        <v>454</v>
      </c>
      <c r="F29" s="4" cm="1">
        <f t="array" ref="F29">_xlfn.SWITCH(data[[#This Row],[diffusion_type]],"lognormal",0.0001,"normal",-0.01)*IF(data[[#This Row],[asset_class]]="Vol",1,1)</f>
        <v>1E-4</v>
      </c>
      <c r="G29" s="4"/>
      <c r="H29" s="4" t="s">
        <v>732</v>
      </c>
      <c r="I29" s="4" t="s">
        <v>733</v>
      </c>
      <c r="J29" s="4"/>
      <c r="K29" s="4">
        <v>1</v>
      </c>
      <c r="L29" s="4">
        <v>0</v>
      </c>
      <c r="M29" s="4">
        <v>0</v>
      </c>
      <c r="N29" s="4">
        <v>0</v>
      </c>
      <c r="O29" s="4" t="str">
        <f>data[[#This Row],[factor_name]]</f>
        <v>IWN</v>
      </c>
      <c r="P29" s="4" t="str" cm="1">
        <f t="array" ref="P29">_xlfn.IFS(data[[#This Row],[description_override]]&lt;&gt;"",data[[#This Row],[description_override]],data[[#This Row],[Description_GPT]]&lt;&gt;"",data[[#This Row],[Description_GPT]],data[[#This Row],[Underlying]]&lt;&gt;"",data[[#This Row],[Underlying]],TRUE,"-")</f>
        <v>Value</v>
      </c>
      <c r="Q29" s="4" t="str">
        <f>_xlfn.XLOOKUP(data[[#This Row],[ticker]],yf_desc[ticker],yf_desc[shortName],"-")</f>
        <v>-</v>
      </c>
      <c r="R29" s="4" t="str">
        <f>_xlfn.XLOOKUP(data[[#This Row],[ticker]],yf_desc[ticker],yf_desc[longName],"-")</f>
        <v>-</v>
      </c>
      <c r="S29" s="4" t="str">
        <f>_xlfn.XLOOKUP(data[[#This Row],[ticker]],yf_desc[ticker],yf_desc[longBusinessSummary],"-")</f>
        <v>-</v>
      </c>
      <c r="T29" s="4"/>
    </row>
    <row r="30" spans="1:20" x14ac:dyDescent="0.25">
      <c r="A30" s="4" t="s">
        <v>39</v>
      </c>
      <c r="B30" s="4" t="s">
        <v>40</v>
      </c>
      <c r="C30" s="4" t="s">
        <v>729</v>
      </c>
      <c r="D30" s="4" t="s">
        <v>455</v>
      </c>
      <c r="E30" s="4" t="s">
        <v>454</v>
      </c>
      <c r="F30" s="4" cm="1">
        <f t="array" ref="F30">_xlfn.SWITCH(data[[#This Row],[diffusion_type]],"lognormal",0.0001,"normal",-0.01)*IF(data[[#This Row],[asset_class]]="Vol",1,1)</f>
        <v>1E-4</v>
      </c>
      <c r="G30" s="4"/>
      <c r="H30" s="4" t="s">
        <v>735</v>
      </c>
      <c r="I30" s="4" t="s">
        <v>734</v>
      </c>
      <c r="J30" s="4"/>
      <c r="K30" s="4">
        <v>1</v>
      </c>
      <c r="L30" s="4">
        <v>0</v>
      </c>
      <c r="M30" s="4">
        <v>0</v>
      </c>
      <c r="N30" s="4">
        <v>0</v>
      </c>
      <c r="O30" s="4" t="str">
        <f>data[[#This Row],[factor_name]]</f>
        <v>IWO</v>
      </c>
      <c r="P30" s="4" t="str" cm="1">
        <f t="array" ref="P30">_xlfn.IFS(data[[#This Row],[description_override]]&lt;&gt;"",data[[#This Row],[description_override]],data[[#This Row],[Description_GPT]]&lt;&gt;"",data[[#This Row],[Description_GPT]],data[[#This Row],[Underlying]]&lt;&gt;"",data[[#This Row],[Underlying]],TRUE,"-")</f>
        <v>Growth</v>
      </c>
      <c r="Q30" s="4" t="str">
        <f>_xlfn.XLOOKUP(data[[#This Row],[ticker]],yf_desc[ticker],yf_desc[shortName],"-")</f>
        <v>-</v>
      </c>
      <c r="R30" s="4" t="str">
        <f>_xlfn.XLOOKUP(data[[#This Row],[ticker]],yf_desc[ticker],yf_desc[longName],"-")</f>
        <v>-</v>
      </c>
      <c r="S30" s="4" t="str">
        <f>_xlfn.XLOOKUP(data[[#This Row],[ticker]],yf_desc[ticker],yf_desc[longBusinessSummary],"-")</f>
        <v>-</v>
      </c>
      <c r="T30" s="4"/>
    </row>
    <row r="31" spans="1:20" x14ac:dyDescent="0.25">
      <c r="A31" s="4" t="s">
        <v>39</v>
      </c>
      <c r="B31" s="4" t="s">
        <v>40</v>
      </c>
      <c r="C31" s="4" t="s">
        <v>731</v>
      </c>
      <c r="D31" s="4" t="s">
        <v>455</v>
      </c>
      <c r="E31" s="4" t="s">
        <v>454</v>
      </c>
      <c r="F31" s="4" cm="1">
        <f t="array" ref="F31">_xlfn.SWITCH(data[[#This Row],[diffusion_type]],"lognormal",0.0001,"normal",-0.01)*IF(data[[#This Row],[asset_class]]="Vol",1,1)</f>
        <v>1E-4</v>
      </c>
      <c r="G31" s="4"/>
      <c r="H31" s="4" t="s">
        <v>737</v>
      </c>
      <c r="I31" s="4" t="s">
        <v>736</v>
      </c>
      <c r="J31" s="4"/>
      <c r="K31" s="4">
        <v>1</v>
      </c>
      <c r="L31" s="4">
        <v>0</v>
      </c>
      <c r="M31" s="4">
        <v>0</v>
      </c>
      <c r="N31" s="4">
        <v>0</v>
      </c>
      <c r="O31" s="4" t="str">
        <f>data[[#This Row],[factor_name]]</f>
        <v>MTUM</v>
      </c>
      <c r="P31" s="4" t="str" cm="1">
        <f t="array" ref="P31">_xlfn.IFS(data[[#This Row],[description_override]]&lt;&gt;"",data[[#This Row],[description_override]],data[[#This Row],[Description_GPT]]&lt;&gt;"",data[[#This Row],[Description_GPT]],data[[#This Row],[Underlying]]&lt;&gt;"",data[[#This Row],[Underlying]],TRUE,"-")</f>
        <v>Momentum</v>
      </c>
      <c r="Q31" s="4" t="str">
        <f>_xlfn.XLOOKUP(data[[#This Row],[ticker]],yf_desc[ticker],yf_desc[shortName],"-")</f>
        <v>-</v>
      </c>
      <c r="R31" s="4" t="str">
        <f>_xlfn.XLOOKUP(data[[#This Row],[ticker]],yf_desc[ticker],yf_desc[longName],"-")</f>
        <v>-</v>
      </c>
      <c r="S31" s="4" t="str">
        <f>_xlfn.XLOOKUP(data[[#This Row],[ticker]],yf_desc[ticker],yf_desc[longBusinessSummary],"-")</f>
        <v>-</v>
      </c>
      <c r="T31" s="4"/>
    </row>
    <row r="32" spans="1:20" x14ac:dyDescent="0.25">
      <c r="A32" s="4" t="s">
        <v>39</v>
      </c>
      <c r="B32" s="4" t="s">
        <v>40</v>
      </c>
      <c r="C32" s="4" t="s">
        <v>13</v>
      </c>
      <c r="D32" s="4" t="s">
        <v>455</v>
      </c>
      <c r="E32" s="4" t="s">
        <v>454</v>
      </c>
      <c r="F32" s="4" cm="1">
        <f t="array" ref="F32">_xlfn.SWITCH(data[[#This Row],[diffusion_type]],"lognormal",0.0001,"normal",-0.01)*IF(data[[#This Row],[asset_class]]="Vol",1,1)</f>
        <v>1E-4</v>
      </c>
      <c r="G32" s="4" t="s">
        <v>8</v>
      </c>
      <c r="H32" s="4" t="s">
        <v>150</v>
      </c>
      <c r="I32" s="4" t="s">
        <v>149</v>
      </c>
      <c r="J32" s="4" t="s">
        <v>30</v>
      </c>
      <c r="K32" s="4">
        <v>1</v>
      </c>
      <c r="L32" s="4">
        <v>0</v>
      </c>
      <c r="M32" s="4">
        <v>0</v>
      </c>
      <c r="N32" s="4">
        <v>0</v>
      </c>
      <c r="O32" s="4" t="str">
        <f>data[[#This Row],[factor_name]]</f>
        <v>FEZ</v>
      </c>
      <c r="P32" s="4" t="str" cm="1">
        <f t="array" ref="P32">_xlfn.IFS(data[[#This Row],[description_override]]&lt;&gt;"",data[[#This Row],[description_override]],data[[#This Row],[Description_GPT]]&lt;&gt;"",data[[#This Row],[Description_GPT]],data[[#This Row],[Underlying]]&lt;&gt;"",data[[#This Row],[Underlying]],TRUE,"-")</f>
        <v>Eurostoxx 50</v>
      </c>
      <c r="Q32" s="4" t="str">
        <f>_xlfn.XLOOKUP(data[[#This Row],[ticker]],yf_desc[ticker],yf_desc[shortName],"-")</f>
        <v>SPDR DJ Euro STOXX 50 Etf</v>
      </c>
      <c r="R32" s="4" t="str">
        <f>_xlfn.XLOOKUP(data[[#This Row],[ticker]],yf_desc[ticker],yf_desc[longName],"-")</f>
        <v>SPDR EURO STOXX 50 ETF</v>
      </c>
      <c r="S32"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32" s="4"/>
    </row>
    <row r="33" spans="1:20" x14ac:dyDescent="0.25">
      <c r="A33" s="4" t="s">
        <v>39</v>
      </c>
      <c r="B33" s="4" t="s">
        <v>68</v>
      </c>
      <c r="C33" s="4" t="s">
        <v>156</v>
      </c>
      <c r="D33" s="4" t="s">
        <v>455</v>
      </c>
      <c r="E33" s="4" t="s">
        <v>454</v>
      </c>
      <c r="F33" s="4" cm="1">
        <f t="array" ref="F33">_xlfn.SWITCH(data[[#This Row],[diffusion_type]],"lognormal",0.0001,"normal",-0.01)*IF(data[[#This Row],[asset_class]]="Vol",1,1)</f>
        <v>1E-4</v>
      </c>
      <c r="G33" s="4" t="s">
        <v>156</v>
      </c>
      <c r="H33" s="4" t="s">
        <v>155</v>
      </c>
      <c r="I33" s="4"/>
      <c r="J33" s="4"/>
      <c r="K33" s="4">
        <v>0</v>
      </c>
      <c r="L33" s="4">
        <v>0</v>
      </c>
      <c r="M33" s="4">
        <v>0</v>
      </c>
      <c r="N33" s="4">
        <v>0</v>
      </c>
      <c r="O33" s="4" t="str">
        <f>data[[#This Row],[factor_name]]</f>
        <v>SX7E</v>
      </c>
      <c r="P33" s="4" t="str" cm="1">
        <f t="array" ref="P33">_xlfn.IFS(data[[#This Row],[description_override]]&lt;&gt;"",data[[#This Row],[description_override]],data[[#This Row],[Description_GPT]]&lt;&gt;"",data[[#This Row],[Description_GPT]],data[[#This Row],[Underlying]]&lt;&gt;"",data[[#This Row],[Underlying]],TRUE,"-")</f>
        <v>Eurostoxx Banks</v>
      </c>
      <c r="Q33" s="4" t="str">
        <f>_xlfn.XLOOKUP(data[[#This Row],[ticker]],yf_desc[ticker],yf_desc[shortName],"-")</f>
        <v>-</v>
      </c>
      <c r="R33" s="4" t="str">
        <f>_xlfn.XLOOKUP(data[[#This Row],[ticker]],yf_desc[ticker],yf_desc[longName],"-")</f>
        <v>-</v>
      </c>
      <c r="S33" s="4" t="str">
        <f>_xlfn.XLOOKUP(data[[#This Row],[ticker]],yf_desc[ticker],yf_desc[longBusinessSummary],"-")</f>
        <v>-</v>
      </c>
      <c r="T33" s="4"/>
    </row>
    <row r="34" spans="1:20" x14ac:dyDescent="0.25">
      <c r="A34" s="4" t="s">
        <v>39</v>
      </c>
      <c r="B34" s="4" t="s">
        <v>220</v>
      </c>
      <c r="C34" s="4" t="s">
        <v>86</v>
      </c>
      <c r="D34" s="4" t="s">
        <v>455</v>
      </c>
      <c r="E34" s="4" t="s">
        <v>454</v>
      </c>
      <c r="F34" s="4" cm="1">
        <f t="array" ref="F34">_xlfn.SWITCH(data[[#This Row],[diffusion_type]],"lognormal",0.0001,"normal",-0.01)*IF(data[[#This Row],[asset_class]]="Vol",1,1)</f>
        <v>1E-4</v>
      </c>
      <c r="G34" s="4"/>
      <c r="H34" s="4" t="s">
        <v>509</v>
      </c>
      <c r="I34" s="4" t="s">
        <v>87</v>
      </c>
      <c r="J34" s="4" t="s">
        <v>119</v>
      </c>
      <c r="K34" s="4">
        <v>1</v>
      </c>
      <c r="L34" s="4">
        <v>0</v>
      </c>
      <c r="M34" s="4">
        <v>0</v>
      </c>
      <c r="N34" s="4">
        <v>0</v>
      </c>
      <c r="O34" s="4" t="str">
        <f>data[[#This Row],[factor_name]]</f>
        <v>EWU</v>
      </c>
      <c r="P34" s="4" t="str" cm="1">
        <f t="array" ref="P34">_xlfn.IFS(data[[#This Row],[description_override]]&lt;&gt;"",data[[#This Row],[description_override]],data[[#This Row],[Description_GPT]]&lt;&gt;"",data[[#This Row],[Description_GPT]],data[[#This Row],[Underlying]]&lt;&gt;"",data[[#This Row],[Underlying]],TRUE,"-")</f>
        <v>FTSE 100</v>
      </c>
      <c r="Q34" s="4" t="str">
        <f>_xlfn.XLOOKUP(data[[#This Row],[ticker]],yf_desc[ticker],yf_desc[shortName],"-")</f>
        <v>iShares MSCI</v>
      </c>
      <c r="R34" s="4" t="str">
        <f>_xlfn.XLOOKUP(data[[#This Row],[ticker]],yf_desc[ticker],yf_desc[longName],"-")</f>
        <v>iShares MSCI United Kingdom ETF</v>
      </c>
      <c r="S34"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4" s="4"/>
    </row>
    <row r="35" spans="1:20" x14ac:dyDescent="0.25">
      <c r="A35" s="4" t="s">
        <v>39</v>
      </c>
      <c r="B35" s="4" t="s">
        <v>68</v>
      </c>
      <c r="C35" s="4" t="s">
        <v>84</v>
      </c>
      <c r="D35" s="4" t="s">
        <v>455</v>
      </c>
      <c r="E35" s="4" t="s">
        <v>454</v>
      </c>
      <c r="F35" s="4" cm="1">
        <f t="array" ref="F35">_xlfn.SWITCH(data[[#This Row],[diffusion_type]],"lognormal",0.0001,"normal",-0.01)*IF(data[[#This Row],[asset_class]]="Vol",1,1)</f>
        <v>1E-4</v>
      </c>
      <c r="G35" s="4" t="s">
        <v>84</v>
      </c>
      <c r="H35" s="4" t="s">
        <v>157</v>
      </c>
      <c r="I35" s="4" t="s">
        <v>85</v>
      </c>
      <c r="J35" s="4" t="s">
        <v>118</v>
      </c>
      <c r="K35" s="4">
        <v>1</v>
      </c>
      <c r="L35" s="4">
        <v>0</v>
      </c>
      <c r="M35" s="4">
        <v>0</v>
      </c>
      <c r="N35" s="4">
        <v>0</v>
      </c>
      <c r="O35" s="4" t="str">
        <f>data[[#This Row],[factor_name]]</f>
        <v>DAX</v>
      </c>
      <c r="P35" s="4" t="str" cm="1">
        <f t="array" ref="P35">_xlfn.IFS(data[[#This Row],[description_override]]&lt;&gt;"",data[[#This Row],[description_override]],data[[#This Row],[Description_GPT]]&lt;&gt;"",data[[#This Row],[Description_GPT]],data[[#This Row],[Underlying]]&lt;&gt;"",data[[#This Row],[Underlying]],TRUE,"-")</f>
        <v>DAX (Germany)</v>
      </c>
      <c r="Q35" s="4" t="str">
        <f>_xlfn.XLOOKUP(data[[#This Row],[ticker]],yf_desc[ticker],yf_desc[shortName],"-")</f>
        <v>Global X DAX Germany ETF</v>
      </c>
      <c r="R35" s="4" t="str">
        <f>_xlfn.XLOOKUP(data[[#This Row],[ticker]],yf_desc[ticker],yf_desc[longName],"-")</f>
        <v>Global X DAX Germany ETF</v>
      </c>
      <c r="S35"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5" s="4"/>
    </row>
    <row r="36" spans="1:20" x14ac:dyDescent="0.25">
      <c r="A36" s="4" t="s">
        <v>39</v>
      </c>
      <c r="B36" s="4" t="s">
        <v>88</v>
      </c>
      <c r="C36" s="4" t="s">
        <v>89</v>
      </c>
      <c r="D36" s="4" t="s">
        <v>455</v>
      </c>
      <c r="E36" s="4" t="s">
        <v>454</v>
      </c>
      <c r="F36" s="4" cm="1">
        <f t="array" ref="F36">_xlfn.SWITCH(data[[#This Row],[diffusion_type]],"lognormal",0.0001,"normal",-0.01)*IF(data[[#This Row],[asset_class]]="Vol",1,1)</f>
        <v>1E-4</v>
      </c>
      <c r="G36" s="4"/>
      <c r="H36" s="4" t="s">
        <v>510</v>
      </c>
      <c r="I36" s="4" t="s">
        <v>90</v>
      </c>
      <c r="J36" s="4" t="s">
        <v>120</v>
      </c>
      <c r="K36" s="4">
        <v>1</v>
      </c>
      <c r="L36" s="4">
        <v>0</v>
      </c>
      <c r="M36" s="4">
        <v>0</v>
      </c>
      <c r="N36" s="4">
        <v>0</v>
      </c>
      <c r="O36" s="4" t="str">
        <f>data[[#This Row],[factor_name]]</f>
        <v>EWC</v>
      </c>
      <c r="P36" s="4" t="str" cm="1">
        <f t="array" ref="P36">_xlfn.IFS(data[[#This Row],[description_override]]&lt;&gt;"",data[[#This Row],[description_override]],data[[#This Row],[Description_GPT]]&lt;&gt;"",data[[#This Row],[Description_GPT]],data[[#This Row],[Underlying]]&lt;&gt;"",data[[#This Row],[Underlying]],TRUE,"-")</f>
        <v>MSCI Canada</v>
      </c>
      <c r="Q36" s="4" t="str">
        <f>_xlfn.XLOOKUP(data[[#This Row],[ticker]],yf_desc[ticker],yf_desc[shortName],"-")</f>
        <v>iShares MSCI Canada Index Fund</v>
      </c>
      <c r="R36" s="4" t="str">
        <f>_xlfn.XLOOKUP(data[[#This Row],[ticker]],yf_desc[ticker],yf_desc[longName],"-")</f>
        <v>iShares MSCI Canada ETF</v>
      </c>
      <c r="S36"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6" s="4"/>
    </row>
    <row r="37" spans="1:20" x14ac:dyDescent="0.25">
      <c r="A37" s="4" t="s">
        <v>39</v>
      </c>
      <c r="B37" s="4" t="s">
        <v>68</v>
      </c>
      <c r="C37" s="4" t="s">
        <v>327</v>
      </c>
      <c r="D37" s="4" t="s">
        <v>455</v>
      </c>
      <c r="E37" s="4" t="s">
        <v>454</v>
      </c>
      <c r="F37" s="4" cm="1">
        <f t="array" ref="F37">_xlfn.SWITCH(data[[#This Row],[diffusion_type]],"lognormal",0.0001,"normal",-0.01)*IF(data[[#This Row],[asset_class]]="Vol",1,1)</f>
        <v>1E-4</v>
      </c>
      <c r="G37" s="4" t="s">
        <v>328</v>
      </c>
      <c r="H37" s="4" t="s">
        <v>332</v>
      </c>
      <c r="I37" s="4"/>
      <c r="J37" s="4"/>
      <c r="K37" s="4">
        <v>0</v>
      </c>
      <c r="L37" s="4">
        <v>0</v>
      </c>
      <c r="M37" s="4">
        <v>0</v>
      </c>
      <c r="N37" s="4">
        <v>0</v>
      </c>
      <c r="O37" s="4" t="str">
        <f>data[[#This Row],[factor_name]]</f>
        <v>FTSEMIB.MI</v>
      </c>
      <c r="P37" s="4" t="str" cm="1">
        <f t="array" ref="P37">_xlfn.IFS(data[[#This Row],[description_override]]&lt;&gt;"",data[[#This Row],[description_override]],data[[#This Row],[Description_GPT]]&lt;&gt;"",data[[#This Row],[Description_GPT]],data[[#This Row],[Underlying]]&lt;&gt;"",data[[#This Row],[Underlying]],TRUE,"-")</f>
        <v>FTSE MIB (Italy)</v>
      </c>
      <c r="Q37" s="4" t="str">
        <f>_xlfn.XLOOKUP(data[[#This Row],[ticker]],yf_desc[ticker],yf_desc[shortName],"-")</f>
        <v>FTSE MIB Index</v>
      </c>
      <c r="R37" s="4" t="str">
        <f>_xlfn.XLOOKUP(data[[#This Row],[ticker]],yf_desc[ticker],yf_desc[longName],"-")</f>
        <v>FTSE MIB Index</v>
      </c>
      <c r="S37" s="4">
        <f>_xlfn.XLOOKUP(data[[#This Row],[ticker]],yf_desc[ticker],yf_desc[longBusinessSummary],"-")</f>
        <v>0</v>
      </c>
      <c r="T37" s="4"/>
    </row>
    <row r="38" spans="1:20" x14ac:dyDescent="0.25">
      <c r="A38" s="4" t="s">
        <v>39</v>
      </c>
      <c r="B38" s="4" t="s">
        <v>68</v>
      </c>
      <c r="C38" s="4" t="s">
        <v>95</v>
      </c>
      <c r="D38" s="4" t="s">
        <v>455</v>
      </c>
      <c r="E38" s="4" t="s">
        <v>454</v>
      </c>
      <c r="F38" s="4" cm="1">
        <f t="array" ref="F38">_xlfn.SWITCH(data[[#This Row],[diffusion_type]],"lognormal",0.0001,"normal",-0.01)*IF(data[[#This Row],[asset_class]]="Vol",1,1)</f>
        <v>1E-4</v>
      </c>
      <c r="G38" s="4" t="s">
        <v>95</v>
      </c>
      <c r="H38" s="4" t="s">
        <v>158</v>
      </c>
      <c r="I38" s="4" t="s">
        <v>96</v>
      </c>
      <c r="J38" s="4" t="s">
        <v>123</v>
      </c>
      <c r="K38" s="4">
        <v>0</v>
      </c>
      <c r="L38" s="4">
        <v>0</v>
      </c>
      <c r="M38" s="4">
        <v>0</v>
      </c>
      <c r="N38" s="4">
        <v>0</v>
      </c>
      <c r="O38" s="4" t="str">
        <f>data[[#This Row],[factor_name]]</f>
        <v>CAC</v>
      </c>
      <c r="P38" s="4" t="str" cm="1">
        <f t="array" ref="P38">_xlfn.IFS(data[[#This Row],[description_override]]&lt;&gt;"",data[[#This Row],[description_override]],data[[#This Row],[Description_GPT]]&lt;&gt;"",data[[#This Row],[Description_GPT]],data[[#This Row],[Underlying]]&lt;&gt;"",data[[#This Row],[Underlying]],TRUE,"-")</f>
        <v>CAC 40 (France)</v>
      </c>
      <c r="Q38" s="4" t="str">
        <f>_xlfn.XLOOKUP(data[[#This Row],[ticker]],yf_desc[ticker],yf_desc[shortName],"-")</f>
        <v>Camden National Corporation</v>
      </c>
      <c r="R38" s="4" t="str">
        <f>_xlfn.XLOOKUP(data[[#This Row],[ticker]],yf_desc[ticker],yf_desc[longName],"-")</f>
        <v>Camden National Corporation</v>
      </c>
      <c r="S38"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8" s="4"/>
    </row>
    <row r="39" spans="1:20" x14ac:dyDescent="0.25">
      <c r="A39" s="4" t="s">
        <v>39</v>
      </c>
      <c r="B39" s="4" t="s">
        <v>68</v>
      </c>
      <c r="C39" s="4" t="s">
        <v>93</v>
      </c>
      <c r="D39" s="4" t="s">
        <v>455</v>
      </c>
      <c r="E39" s="4" t="s">
        <v>454</v>
      </c>
      <c r="F39" s="4" cm="1">
        <f t="array" ref="F39">_xlfn.SWITCH(data[[#This Row],[diffusion_type]],"lognormal",0.0001,"normal",-0.01)*IF(data[[#This Row],[asset_class]]="Vol",1,1)</f>
        <v>1E-4</v>
      </c>
      <c r="G39" s="4"/>
      <c r="H39" s="4" t="s">
        <v>511</v>
      </c>
      <c r="I39" s="4" t="s">
        <v>94</v>
      </c>
      <c r="J39" s="4" t="s">
        <v>122</v>
      </c>
      <c r="K39" s="4">
        <v>1</v>
      </c>
      <c r="L39" s="4">
        <v>0</v>
      </c>
      <c r="M39" s="4">
        <v>0</v>
      </c>
      <c r="N39" s="4">
        <v>0</v>
      </c>
      <c r="O39" s="4" t="str">
        <f>data[[#This Row],[factor_name]]</f>
        <v>EWI</v>
      </c>
      <c r="P39" s="4" t="str" cm="1">
        <f t="array" ref="P39">_xlfn.IFS(data[[#This Row],[description_override]]&lt;&gt;"",data[[#This Row],[description_override]],data[[#This Row],[Description_GPT]]&lt;&gt;"",data[[#This Row],[Description_GPT]],data[[#This Row],[Underlying]]&lt;&gt;"",data[[#This Row],[Underlying]],TRUE,"-")</f>
        <v>MSCI Italy</v>
      </c>
      <c r="Q39" s="4" t="str">
        <f>_xlfn.XLOOKUP(data[[#This Row],[ticker]],yf_desc[ticker],yf_desc[shortName],"-")</f>
        <v xml:space="preserve">iShares Inc iShares MSCI Italy </v>
      </c>
      <c r="R39" s="4" t="str">
        <f>_xlfn.XLOOKUP(data[[#This Row],[ticker]],yf_desc[ticker],yf_desc[longName],"-")</f>
        <v>iShares MSCI Italy ETF</v>
      </c>
      <c r="S39"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9" s="4"/>
    </row>
    <row r="40" spans="1:20" x14ac:dyDescent="0.25">
      <c r="A40" s="4" t="s">
        <v>39</v>
      </c>
      <c r="B40" s="4" t="s">
        <v>68</v>
      </c>
      <c r="C40" s="4" t="s">
        <v>330</v>
      </c>
      <c r="D40" s="4" t="s">
        <v>455</v>
      </c>
      <c r="E40" s="4" t="s">
        <v>454</v>
      </c>
      <c r="F40" s="4" cm="1">
        <f t="array" ref="F40">_xlfn.SWITCH(data[[#This Row],[diffusion_type]],"lognormal",0.0001,"normal",-0.01)*IF(data[[#This Row],[asset_class]]="Vol",1,1)</f>
        <v>1E-4</v>
      </c>
      <c r="G40" s="4" t="s">
        <v>329</v>
      </c>
      <c r="H40" s="4" t="s">
        <v>331</v>
      </c>
      <c r="I40" s="4"/>
      <c r="J40" s="4" t="s">
        <v>121</v>
      </c>
      <c r="K40" s="4">
        <v>0</v>
      </c>
      <c r="L40" s="4">
        <v>0</v>
      </c>
      <c r="M40" s="4">
        <v>0</v>
      </c>
      <c r="N40" s="4">
        <v>0</v>
      </c>
      <c r="O40" s="4" t="str">
        <f>data[[#This Row],[factor_name]]</f>
        <v>^IBEX</v>
      </c>
      <c r="P40" s="4" t="str" cm="1">
        <f t="array" ref="P40">_xlfn.IFS(data[[#This Row],[description_override]]&lt;&gt;"",data[[#This Row],[description_override]],data[[#This Row],[Description_GPT]]&lt;&gt;"",data[[#This Row],[Description_GPT]],data[[#This Row],[Underlying]]&lt;&gt;"",data[[#This Row],[Underlying]],TRUE,"-")</f>
        <v>IBEX 35 (Spain)</v>
      </c>
      <c r="Q40" s="4" t="str">
        <f>_xlfn.XLOOKUP(data[[#This Row],[ticker]],yf_desc[ticker],yf_desc[shortName],"-")</f>
        <v>IBEX 35...</v>
      </c>
      <c r="R40" s="4" t="str">
        <f>_xlfn.XLOOKUP(data[[#This Row],[ticker]],yf_desc[ticker],yf_desc[longName],"-")</f>
        <v>IBEX 35...</v>
      </c>
      <c r="S40" s="4">
        <f>_xlfn.XLOOKUP(data[[#This Row],[ticker]],yf_desc[ticker],yf_desc[longBusinessSummary],"-")</f>
        <v>0</v>
      </c>
      <c r="T40" s="4"/>
    </row>
    <row r="41" spans="1:20" x14ac:dyDescent="0.25">
      <c r="A41" s="4" t="s">
        <v>39</v>
      </c>
      <c r="B41" s="4" t="s">
        <v>68</v>
      </c>
      <c r="C41" s="4" t="s">
        <v>91</v>
      </c>
      <c r="D41" s="4" t="s">
        <v>455</v>
      </c>
      <c r="E41" s="4" t="s">
        <v>454</v>
      </c>
      <c r="F41" s="4" cm="1">
        <f t="array" ref="F41">_xlfn.SWITCH(data[[#This Row],[diffusion_type]],"lognormal",0.0001,"normal",-0.01)*IF(data[[#This Row],[asset_class]]="Vol",1,1)</f>
        <v>1E-4</v>
      </c>
      <c r="G41" s="4"/>
      <c r="H41" s="4" t="s">
        <v>512</v>
      </c>
      <c r="I41" s="4" t="s">
        <v>92</v>
      </c>
      <c r="J41" s="4" t="s">
        <v>121</v>
      </c>
      <c r="K41" s="4">
        <v>0</v>
      </c>
      <c r="L41" s="4">
        <v>0</v>
      </c>
      <c r="M41" s="4">
        <v>0</v>
      </c>
      <c r="N41" s="4">
        <v>0</v>
      </c>
      <c r="O41" s="4" t="str">
        <f>data[[#This Row],[factor_name]]</f>
        <v>EWP</v>
      </c>
      <c r="P41" s="4" t="str" cm="1">
        <f t="array" ref="P41">_xlfn.IFS(data[[#This Row],[description_override]]&lt;&gt;"",data[[#This Row],[description_override]],data[[#This Row],[Description_GPT]]&lt;&gt;"",data[[#This Row],[Description_GPT]],data[[#This Row],[Underlying]]&lt;&gt;"",data[[#This Row],[Underlying]],TRUE,"-")</f>
        <v>MSCI Spain</v>
      </c>
      <c r="Q41" s="4" t="str">
        <f>_xlfn.XLOOKUP(data[[#This Row],[ticker]],yf_desc[ticker],yf_desc[shortName],"-")</f>
        <v xml:space="preserve">iShares Inc iShares MSCI Spain </v>
      </c>
      <c r="R41" s="4" t="str">
        <f>_xlfn.XLOOKUP(data[[#This Row],[ticker]],yf_desc[ticker],yf_desc[longName],"-")</f>
        <v>iShares MSCI Spain ETF</v>
      </c>
      <c r="S4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41" s="4"/>
    </row>
    <row r="42" spans="1:20" x14ac:dyDescent="0.25">
      <c r="A42" s="4" t="s">
        <v>39</v>
      </c>
      <c r="B42" s="4" t="s">
        <v>71</v>
      </c>
      <c r="C42" s="4" t="s">
        <v>324</v>
      </c>
      <c r="D42" s="4" t="s">
        <v>455</v>
      </c>
      <c r="E42" s="4" t="s">
        <v>454</v>
      </c>
      <c r="F42" s="4" cm="1">
        <f t="array" ref="F42">_xlfn.SWITCH(data[[#This Row],[diffusion_type]],"lognormal",0.0001,"normal",-0.01)*IF(data[[#This Row],[asset_class]]="Vol",1,1)</f>
        <v>1E-4</v>
      </c>
      <c r="G42" s="4" t="s">
        <v>77</v>
      </c>
      <c r="H42" s="4" t="s">
        <v>141</v>
      </c>
      <c r="I42" s="4" t="s">
        <v>78</v>
      </c>
      <c r="J42" s="4" t="s">
        <v>115</v>
      </c>
      <c r="K42" s="4">
        <v>1</v>
      </c>
      <c r="L42" s="4">
        <v>0</v>
      </c>
      <c r="M42" s="4">
        <v>0</v>
      </c>
      <c r="N42" s="4">
        <v>0</v>
      </c>
      <c r="O42" s="4" t="str">
        <f>data[[#This Row],[factor_name]]</f>
        <v>^N225</v>
      </c>
      <c r="P42" s="4" t="str" cm="1">
        <f t="array" ref="P42">_xlfn.IFS(data[[#This Row],[description_override]]&lt;&gt;"",data[[#This Row],[description_override]],data[[#This Row],[Description_GPT]]&lt;&gt;"",data[[#This Row],[Description_GPT]],data[[#This Row],[Underlying]]&lt;&gt;"",data[[#This Row],[Underlying]],TRUE,"-")</f>
        <v>Nikkei 225</v>
      </c>
      <c r="Q42" s="4" t="str">
        <f>_xlfn.XLOOKUP(data[[#This Row],[ticker]],yf_desc[ticker],yf_desc[shortName],"-")</f>
        <v>Nikkei 225</v>
      </c>
      <c r="R42" s="4" t="str">
        <f>_xlfn.XLOOKUP(data[[#This Row],[ticker]],yf_desc[ticker],yf_desc[longName],"-")</f>
        <v>Nikkei 225</v>
      </c>
      <c r="S42" s="4">
        <f>_xlfn.XLOOKUP(data[[#This Row],[ticker]],yf_desc[ticker],yf_desc[longBusinessSummary],"-")</f>
        <v>0</v>
      </c>
      <c r="T42" s="4"/>
    </row>
    <row r="43" spans="1:20" x14ac:dyDescent="0.25">
      <c r="A43" s="4" t="s">
        <v>39</v>
      </c>
      <c r="B43" s="4" t="s">
        <v>71</v>
      </c>
      <c r="C43" s="4" t="s">
        <v>142</v>
      </c>
      <c r="D43" s="4" t="s">
        <v>455</v>
      </c>
      <c r="E43" s="4" t="s">
        <v>454</v>
      </c>
      <c r="F43" s="4" cm="1">
        <f t="array" ref="F43">_xlfn.SWITCH(data[[#This Row],[diffusion_type]],"lognormal",0.0001,"normal",-0.01)*IF(data[[#This Row],[asset_class]]="Vol",1,1)</f>
        <v>1E-4</v>
      </c>
      <c r="G43" s="4" t="s">
        <v>142</v>
      </c>
      <c r="H43" s="4" t="s">
        <v>145</v>
      </c>
      <c r="I43" s="4" t="s">
        <v>143</v>
      </c>
      <c r="J43" s="4" t="s">
        <v>144</v>
      </c>
      <c r="K43" s="4">
        <v>0</v>
      </c>
      <c r="L43" s="4">
        <v>0</v>
      </c>
      <c r="M43" s="4">
        <v>0</v>
      </c>
      <c r="N43" s="4">
        <v>0</v>
      </c>
      <c r="O43" s="4" t="str">
        <f>data[[#This Row],[factor_name]]</f>
        <v>TPX</v>
      </c>
      <c r="P43" s="4" t="str" cm="1">
        <f t="array" ref="P43">_xlfn.IFS(data[[#This Row],[description_override]]&lt;&gt;"",data[[#This Row],[description_override]],data[[#This Row],[Description_GPT]]&lt;&gt;"",data[[#This Row],[Description_GPT]],data[[#This Row],[Underlying]]&lt;&gt;"",data[[#This Row],[Underlying]],TRUE,"-")</f>
        <v>TOPIX</v>
      </c>
      <c r="Q43" s="4" t="str">
        <f>_xlfn.XLOOKUP(data[[#This Row],[ticker]],yf_desc[ticker],yf_desc[shortName],"-")</f>
        <v>-</v>
      </c>
      <c r="R43" s="4" t="str">
        <f>_xlfn.XLOOKUP(data[[#This Row],[ticker]],yf_desc[ticker],yf_desc[longName],"-")</f>
        <v>-</v>
      </c>
      <c r="S43" s="4" t="str">
        <f>_xlfn.XLOOKUP(data[[#This Row],[ticker]],yf_desc[ticker],yf_desc[longBusinessSummary],"-")</f>
        <v>-</v>
      </c>
      <c r="T43" s="4" t="s">
        <v>489</v>
      </c>
    </row>
    <row r="44" spans="1:20" x14ac:dyDescent="0.25">
      <c r="A44" s="4" t="s">
        <v>39</v>
      </c>
      <c r="B44" s="4" t="s">
        <v>79</v>
      </c>
      <c r="C44" s="4" t="s">
        <v>80</v>
      </c>
      <c r="D44" s="4" t="s">
        <v>455</v>
      </c>
      <c r="E44" s="4" t="s">
        <v>454</v>
      </c>
      <c r="F44" s="4" cm="1">
        <f t="array" ref="F44">_xlfn.SWITCH(data[[#This Row],[diffusion_type]],"lognormal",0.0001,"normal",-0.01)*IF(data[[#This Row],[asset_class]]="Vol",1,1)</f>
        <v>1E-4</v>
      </c>
      <c r="G44" s="4" t="s">
        <v>80</v>
      </c>
      <c r="H44" s="4" t="s">
        <v>513</v>
      </c>
      <c r="I44" s="4" t="s">
        <v>81</v>
      </c>
      <c r="J44" s="4" t="s">
        <v>116</v>
      </c>
      <c r="K44" s="4">
        <v>1</v>
      </c>
      <c r="L44" s="4">
        <v>0</v>
      </c>
      <c r="M44" s="4">
        <v>0</v>
      </c>
      <c r="N44" s="4">
        <v>0</v>
      </c>
      <c r="O44" s="4" t="str">
        <f>data[[#This Row],[factor_name]]</f>
        <v>FXI</v>
      </c>
      <c r="P44" s="4" t="str" cm="1">
        <f t="array" ref="P44">_xlfn.IFS(data[[#This Row],[description_override]]&lt;&gt;"",data[[#This Row],[description_override]],data[[#This Row],[Description_GPT]]&lt;&gt;"",data[[#This Row],[Description_GPT]],data[[#This Row],[Underlying]]&lt;&gt;"",data[[#This Row],[Underlying]],TRUE,"-")</f>
        <v>China Large-Cap</v>
      </c>
      <c r="Q44" s="4" t="str">
        <f>_xlfn.XLOOKUP(data[[#This Row],[ticker]],yf_desc[ticker],yf_desc[shortName],"-")</f>
        <v>iShares China Large-Cap ETF</v>
      </c>
      <c r="R44" s="4" t="str">
        <f>_xlfn.XLOOKUP(data[[#This Row],[ticker]],yf_desc[ticker],yf_desc[longName],"-")</f>
        <v>iShares China Large-Cap ETF</v>
      </c>
      <c r="S44"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4" s="4"/>
    </row>
    <row r="45" spans="1:20" x14ac:dyDescent="0.25">
      <c r="A45" s="4" t="s">
        <v>39</v>
      </c>
      <c r="B45" s="4" t="s">
        <v>79</v>
      </c>
      <c r="C45" s="4" t="s">
        <v>82</v>
      </c>
      <c r="D45" s="4" t="s">
        <v>455</v>
      </c>
      <c r="E45" s="4" t="s">
        <v>454</v>
      </c>
      <c r="F45" s="4" cm="1">
        <f t="array" ref="F45">_xlfn.SWITCH(data[[#This Row],[diffusion_type]],"lognormal",0.0001,"normal",-0.01)*IF(data[[#This Row],[asset_class]]="Vol",1,1)</f>
        <v>1E-4</v>
      </c>
      <c r="G45" s="4" t="s">
        <v>82</v>
      </c>
      <c r="H45" s="4" t="s">
        <v>192</v>
      </c>
      <c r="I45" s="4" t="s">
        <v>83</v>
      </c>
      <c r="J45" s="4" t="s">
        <v>117</v>
      </c>
      <c r="K45" s="4">
        <v>1</v>
      </c>
      <c r="L45" s="4">
        <v>0</v>
      </c>
      <c r="M45" s="4">
        <v>0</v>
      </c>
      <c r="N45" s="4">
        <v>0</v>
      </c>
      <c r="O45" s="4" t="str">
        <f>data[[#This Row],[factor_name]]</f>
        <v>ASHR</v>
      </c>
      <c r="P45" s="4" t="str" cm="1">
        <f t="array" ref="P45">_xlfn.IFS(data[[#This Row],[description_override]]&lt;&gt;"",data[[#This Row],[description_override]],data[[#This Row],[Description_GPT]]&lt;&gt;"",data[[#This Row],[Description_GPT]],data[[#This Row],[Underlying]]&lt;&gt;"",data[[#This Row],[Underlying]],TRUE,"-")</f>
        <v>CSI 300 (China)</v>
      </c>
      <c r="Q45" s="4" t="str">
        <f>_xlfn.XLOOKUP(data[[#This Row],[ticker]],yf_desc[ticker],yf_desc[shortName],"-")</f>
        <v>Xtrackers Harvest CSI 300 China</v>
      </c>
      <c r="R45" s="4" t="str">
        <f>_xlfn.XLOOKUP(data[[#This Row],[ticker]],yf_desc[ticker],yf_desc[longName],"-")</f>
        <v>Xtrackers Harvest CSI 300 China A-Shares ETF</v>
      </c>
      <c r="S45"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5" s="4"/>
    </row>
    <row r="46" spans="1:20" x14ac:dyDescent="0.25">
      <c r="A46" s="4" t="s">
        <v>39</v>
      </c>
      <c r="B46" s="4" t="s">
        <v>79</v>
      </c>
      <c r="C46" s="4" t="s">
        <v>400</v>
      </c>
      <c r="D46" s="4" t="s">
        <v>455</v>
      </c>
      <c r="E46" s="4" t="s">
        <v>454</v>
      </c>
      <c r="F46" s="4" cm="1">
        <f t="array" ref="F46">_xlfn.SWITCH(data[[#This Row],[diffusion_type]],"lognormal",0.0001,"normal",-0.01)*IF(data[[#This Row],[asset_class]]="Vol",1,1)</f>
        <v>1E-4</v>
      </c>
      <c r="G46" s="4" t="s">
        <v>400</v>
      </c>
      <c r="H46" s="4" t="s">
        <v>514</v>
      </c>
      <c r="I46" s="4" t="s">
        <v>401</v>
      </c>
      <c r="J46" s="4"/>
      <c r="K46" s="4">
        <v>1</v>
      </c>
      <c r="L46" s="4">
        <v>0</v>
      </c>
      <c r="M46" s="4">
        <v>0</v>
      </c>
      <c r="N46" s="4">
        <v>0</v>
      </c>
      <c r="O46" s="4" t="str">
        <f>data[[#This Row],[factor_name]]</f>
        <v>KWEB</v>
      </c>
      <c r="P46" s="4" t="str" cm="1">
        <f t="array" ref="P46">_xlfn.IFS(data[[#This Row],[description_override]]&lt;&gt;"",data[[#This Row],[description_override]],data[[#This Row],[Description_GPT]]&lt;&gt;"",data[[#This Row],[Description_GPT]],data[[#This Row],[Underlying]]&lt;&gt;"",data[[#This Row],[Underlying]],TRUE,"-")</f>
        <v>CSI China Internet</v>
      </c>
      <c r="Q46" s="4" t="str">
        <f>_xlfn.XLOOKUP(data[[#This Row],[ticker]],yf_desc[ticker],yf_desc[shortName],"-")</f>
        <v>KraneShares Trust KraneShares C</v>
      </c>
      <c r="R46" s="4" t="str">
        <f>_xlfn.XLOOKUP(data[[#This Row],[ticker]],yf_desc[ticker],yf_desc[longName],"-")</f>
        <v>KraneShares CSI China Internet ETF</v>
      </c>
      <c r="S46"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6" s="4"/>
    </row>
    <row r="47" spans="1:20" x14ac:dyDescent="0.25">
      <c r="A47" s="4" t="s">
        <v>39</v>
      </c>
      <c r="B47" s="4" t="s">
        <v>74</v>
      </c>
      <c r="C47" s="4" t="s">
        <v>199</v>
      </c>
      <c r="D47" s="4" t="s">
        <v>455</v>
      </c>
      <c r="E47" s="4" t="s">
        <v>454</v>
      </c>
      <c r="F47" s="4" cm="1">
        <f t="array" ref="F47">_xlfn.SWITCH(data[[#This Row],[diffusion_type]],"lognormal",0.0001,"normal",-0.01)*IF(data[[#This Row],[asset_class]]="Vol",1,1)</f>
        <v>1E-4</v>
      </c>
      <c r="G47" s="4"/>
      <c r="H47" s="4" t="s">
        <v>193</v>
      </c>
      <c r="I47" s="4"/>
      <c r="J47" s="4" t="s">
        <v>515</v>
      </c>
      <c r="K47" s="4">
        <v>1</v>
      </c>
      <c r="L47" s="4">
        <v>0</v>
      </c>
      <c r="M47" s="4">
        <v>0</v>
      </c>
      <c r="N47" s="4">
        <v>0</v>
      </c>
      <c r="O47" s="4" t="str">
        <f>data[[#This Row],[factor_name]]</f>
        <v>EEM</v>
      </c>
      <c r="P47" s="4" t="str" cm="1">
        <f t="array" ref="P47">_xlfn.IFS(data[[#This Row],[description_override]]&lt;&gt;"",data[[#This Row],[description_override]],data[[#This Row],[Description_GPT]]&lt;&gt;"",data[[#This Row],[Description_GPT]],data[[#This Row],[Underlying]]&lt;&gt;"",data[[#This Row],[Underlying]],TRUE,"-")</f>
        <v>MSCI EM</v>
      </c>
      <c r="Q47" s="4" t="str">
        <f>_xlfn.XLOOKUP(data[[#This Row],[ticker]],yf_desc[ticker],yf_desc[shortName],"-")</f>
        <v>iShares MSCI Emerging Index Fun</v>
      </c>
      <c r="R47" s="4" t="str">
        <f>_xlfn.XLOOKUP(data[[#This Row],[ticker]],yf_desc[ticker],yf_desc[longName],"-")</f>
        <v>iShares MSCI Emerging Markets ETF</v>
      </c>
      <c r="S47"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7" s="4"/>
    </row>
    <row r="48" spans="1:20" x14ac:dyDescent="0.25">
      <c r="A48" s="4" t="s">
        <v>46</v>
      </c>
      <c r="B48" s="4" t="s">
        <v>40</v>
      </c>
      <c r="C48" s="4" t="s">
        <v>10</v>
      </c>
      <c r="D48" s="4" t="s">
        <v>455</v>
      </c>
      <c r="E48" s="4" t="s">
        <v>454</v>
      </c>
      <c r="F48" s="4" cm="1">
        <f t="array" ref="F48">_xlfn.SWITCH(data[[#This Row],[diffusion_type]],"lognormal",0.0001,"normal",-0.01)*IF(data[[#This Row],[asset_class]]="Vol",1,1)</f>
        <v>1E-4</v>
      </c>
      <c r="G48" s="4" t="s">
        <v>426</v>
      </c>
      <c r="H48" s="4"/>
      <c r="I48" s="4" t="s">
        <v>47</v>
      </c>
      <c r="J48" s="4" t="s">
        <v>103</v>
      </c>
      <c r="K48" s="4">
        <v>1</v>
      </c>
      <c r="L48" s="4">
        <v>0</v>
      </c>
      <c r="M48" s="4">
        <v>0</v>
      </c>
      <c r="N48" s="4">
        <v>0</v>
      </c>
      <c r="O48" s="4" t="str">
        <f>data[[#This Row],[factor_name]]</f>
        <v>LQD</v>
      </c>
      <c r="P48" s="4" t="str" cm="1">
        <f t="array" ref="P48">_xlfn.IFS(data[[#This Row],[description_override]]&lt;&gt;"",data[[#This Row],[description_override]],data[[#This Row],[Description_GPT]]&lt;&gt;"",data[[#This Row],[Description_GPT]],data[[#This Row],[Underlying]]&lt;&gt;"",data[[#This Row],[Underlying]],TRUE,"-")</f>
        <v>iShares iBoxx $ Investment Grade Corporate Bond ETF</v>
      </c>
      <c r="Q48" s="4" t="str">
        <f>_xlfn.XLOOKUP(data[[#This Row],[ticker]],yf_desc[ticker],yf_desc[shortName],"-")</f>
        <v>iShares iBoxx $ Investment Grad</v>
      </c>
      <c r="R48" s="4" t="str">
        <f>_xlfn.XLOOKUP(data[[#This Row],[ticker]],yf_desc[ticker],yf_desc[longName],"-")</f>
        <v>iShares iBoxx $ Investment Grade Corporate Bond ETF</v>
      </c>
      <c r="S48"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8" s="4"/>
    </row>
    <row r="49" spans="1:20" x14ac:dyDescent="0.25">
      <c r="A49" s="4" t="s">
        <v>46</v>
      </c>
      <c r="B49" s="4" t="s">
        <v>40</v>
      </c>
      <c r="C49" s="4" t="s">
        <v>447</v>
      </c>
      <c r="D49" s="4" t="s">
        <v>455</v>
      </c>
      <c r="E49" s="4" t="s">
        <v>454</v>
      </c>
      <c r="F49" s="4" cm="1">
        <f t="array" ref="F49">_xlfn.SWITCH(data[[#This Row],[diffusion_type]],"lognormal",0.0001,"normal",-0.01)*IF(data[[#This Row],[asset_class]]="Vol",1,1)</f>
        <v>1E-4</v>
      </c>
      <c r="G49" s="4"/>
      <c r="H49" s="4"/>
      <c r="I49" s="4" t="s">
        <v>487</v>
      </c>
      <c r="J49" s="4" t="s">
        <v>488</v>
      </c>
      <c r="K49" s="4">
        <v>1</v>
      </c>
      <c r="L49" s="4">
        <v>0</v>
      </c>
      <c r="M49" s="4">
        <v>0</v>
      </c>
      <c r="N49" s="4">
        <v>0</v>
      </c>
      <c r="O49" s="4" t="str">
        <f>data[[#This Row],[factor_name]]</f>
        <v>BSV</v>
      </c>
      <c r="P49" s="4" t="str" cm="1">
        <f t="array" ref="P49">_xlfn.IFS(data[[#This Row],[description_override]]&lt;&gt;"",data[[#This Row],[description_override]],data[[#This Row],[Description_GPT]]&lt;&gt;"",data[[#This Row],[Description_GPT]],data[[#This Row],[Underlying]]&lt;&gt;"",data[[#This Row],[Underlying]],TRUE,"-")</f>
        <v>Vanguard Short-Term Bond Index Fund ETF</v>
      </c>
      <c r="Q49" s="4" t="str">
        <f>_xlfn.XLOOKUP(data[[#This Row],[ticker]],yf_desc[ticker],yf_desc[shortName],"-")</f>
        <v>Vanguard Short-Term Bond ETF</v>
      </c>
      <c r="R49" s="4" t="str">
        <f>_xlfn.XLOOKUP(data[[#This Row],[ticker]],yf_desc[ticker],yf_desc[longName],"-")</f>
        <v>Vanguard Short-Term Bond Index Fund ETF Shares</v>
      </c>
      <c r="S49"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9" s="4"/>
    </row>
    <row r="50" spans="1:20" x14ac:dyDescent="0.25">
      <c r="A50" s="4" t="s">
        <v>46</v>
      </c>
      <c r="B50" s="4" t="s">
        <v>40</v>
      </c>
      <c r="C50" s="4" t="s">
        <v>12</v>
      </c>
      <c r="D50" s="4" t="s">
        <v>455</v>
      </c>
      <c r="E50" s="4" t="s">
        <v>454</v>
      </c>
      <c r="F50" s="4" cm="1">
        <f t="array" ref="F50">_xlfn.SWITCH(data[[#This Row],[diffusion_type]],"lognormal",0.0001,"normal",-0.01)*IF(data[[#This Row],[asset_class]]="Vol",1,1)</f>
        <v>1E-4</v>
      </c>
      <c r="G50" s="4" t="s">
        <v>427</v>
      </c>
      <c r="H50" s="4"/>
      <c r="I50" s="4" t="s">
        <v>48</v>
      </c>
      <c r="J50" s="4" t="s">
        <v>104</v>
      </c>
      <c r="K50" s="4">
        <v>1</v>
      </c>
      <c r="L50" s="4">
        <v>0</v>
      </c>
      <c r="M50" s="4">
        <v>0</v>
      </c>
      <c r="N50" s="4">
        <v>0</v>
      </c>
      <c r="O50" s="4" t="str">
        <f>data[[#This Row],[factor_name]]</f>
        <v>HYG</v>
      </c>
      <c r="P50" s="4" t="str" cm="1">
        <f t="array" ref="P50">_xlfn.IFS(data[[#This Row],[description_override]]&lt;&gt;"",data[[#This Row],[description_override]],data[[#This Row],[Description_GPT]]&lt;&gt;"",data[[#This Row],[Description_GPT]],data[[#This Row],[Underlying]]&lt;&gt;"",data[[#This Row],[Underlying]],TRUE,"-")</f>
        <v>iShares iBoxx $ High Yield Corporate Bond ETF</v>
      </c>
      <c r="Q50" s="4" t="str">
        <f>_xlfn.XLOOKUP(data[[#This Row],[ticker]],yf_desc[ticker],yf_desc[shortName],"-")</f>
        <v>iShares iBoxx $ High Yield Corp</v>
      </c>
      <c r="R50" s="4" t="str">
        <f>_xlfn.XLOOKUP(data[[#This Row],[ticker]],yf_desc[ticker],yf_desc[longName],"-")</f>
        <v>iShares iBoxx $ High Yield Corporate Bond ETF</v>
      </c>
      <c r="S50"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50" s="4"/>
    </row>
    <row r="51" spans="1:20" x14ac:dyDescent="0.25">
      <c r="A51" s="4" t="s">
        <v>46</v>
      </c>
      <c r="B51" s="4" t="s">
        <v>40</v>
      </c>
      <c r="C51" s="4" t="s">
        <v>347</v>
      </c>
      <c r="D51" s="4" t="s">
        <v>455</v>
      </c>
      <c r="E51" s="4" t="s">
        <v>454</v>
      </c>
      <c r="F51" s="4" cm="1">
        <f t="array" ref="F51">_xlfn.SWITCH(data[[#This Row],[diffusion_type]],"lognormal",0.0001,"normal",-0.01)*IF(data[[#This Row],[asset_class]]="Vol",1,1)</f>
        <v>1E-4</v>
      </c>
      <c r="G51" s="4" t="s">
        <v>9</v>
      </c>
      <c r="H51" s="4" t="s">
        <v>526</v>
      </c>
      <c r="I51" s="4"/>
      <c r="J51" s="4" t="s">
        <v>406</v>
      </c>
      <c r="K51" s="4">
        <v>1</v>
      </c>
      <c r="L51" s="4">
        <v>1</v>
      </c>
      <c r="M51" s="4">
        <v>0</v>
      </c>
      <c r="N51" s="4">
        <v>0</v>
      </c>
      <c r="O51" s="4" t="str">
        <f>data[[#This Row],[factor_name]]</f>
        <v>LQDH</v>
      </c>
      <c r="P51" s="4" t="str" cm="1">
        <f t="array" ref="P51">_xlfn.IFS(data[[#This Row],[description_override]]&lt;&gt;"",data[[#This Row],[description_override]],data[[#This Row],[Description_GPT]]&lt;&gt;"",data[[#This Row],[Description_GPT]],data[[#This Row],[Underlying]]&lt;&gt;"",data[[#This Row],[Underlying]],TRUE,"-")</f>
        <v>Hedged LQD</v>
      </c>
      <c r="Q51" s="4" t="str">
        <f>_xlfn.XLOOKUP(data[[#This Row],[ticker]],yf_desc[ticker],yf_desc[shortName],"-")</f>
        <v>iShares Interest Rate Hedged Co</v>
      </c>
      <c r="R51" s="4" t="str">
        <f>_xlfn.XLOOKUP(data[[#This Row],[ticker]],yf_desc[ticker],yf_desc[longName],"-")</f>
        <v>iShares Interest Rate Hedged Corporate Bond ETF</v>
      </c>
      <c r="S51"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51" s="4"/>
    </row>
    <row r="52" spans="1:20" x14ac:dyDescent="0.25">
      <c r="A52" s="4" t="s">
        <v>46</v>
      </c>
      <c r="B52" s="4" t="s">
        <v>40</v>
      </c>
      <c r="C52" s="4" t="s">
        <v>348</v>
      </c>
      <c r="D52" s="4" t="s">
        <v>455</v>
      </c>
      <c r="E52" s="4" t="s">
        <v>454</v>
      </c>
      <c r="F52" s="4" cm="1">
        <f t="array" ref="F52">_xlfn.SWITCH(data[[#This Row],[diffusion_type]],"lognormal",0.0001,"normal",-0.01)*IF(data[[#This Row],[asset_class]]="Vol",1,1)</f>
        <v>1E-4</v>
      </c>
      <c r="G52" s="4" t="s">
        <v>11</v>
      </c>
      <c r="H52" s="4" t="s">
        <v>525</v>
      </c>
      <c r="I52" s="4"/>
      <c r="J52" s="4" t="s">
        <v>408</v>
      </c>
      <c r="K52" s="4">
        <v>1</v>
      </c>
      <c r="L52" s="4">
        <v>0</v>
      </c>
      <c r="M52" s="4">
        <v>0</v>
      </c>
      <c r="N52" s="4">
        <v>0</v>
      </c>
      <c r="O52" s="4" t="str">
        <f>data[[#This Row],[factor_name]]</f>
        <v>HYGH</v>
      </c>
      <c r="P52" s="4" t="str" cm="1">
        <f t="array" ref="P52">_xlfn.IFS(data[[#This Row],[description_override]]&lt;&gt;"",data[[#This Row],[description_override]],data[[#This Row],[Description_GPT]]&lt;&gt;"",data[[#This Row],[Description_GPT]],data[[#This Row],[Underlying]]&lt;&gt;"",data[[#This Row],[Underlying]],TRUE,"-")</f>
        <v>Hedged HYG</v>
      </c>
      <c r="Q52" s="4" t="str">
        <f>_xlfn.XLOOKUP(data[[#This Row],[ticker]],yf_desc[ticker],yf_desc[shortName],"-")</f>
        <v>iShares Interest Rate Hedged Hi</v>
      </c>
      <c r="R52" s="4" t="str">
        <f>_xlfn.XLOOKUP(data[[#This Row],[ticker]],yf_desc[ticker],yf_desc[longName],"-")</f>
        <v>iShares Interest Rate Hedged High Yield Bond ETF</v>
      </c>
      <c r="S52"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52" s="4"/>
    </row>
    <row r="53" spans="1:20" x14ac:dyDescent="0.25">
      <c r="A53" s="4" t="s">
        <v>46</v>
      </c>
      <c r="B53" s="4" t="s">
        <v>40</v>
      </c>
      <c r="C53" s="4" t="s">
        <v>293</v>
      </c>
      <c r="D53" s="4" t="s">
        <v>455</v>
      </c>
      <c r="E53" s="4" t="s">
        <v>454</v>
      </c>
      <c r="F53" s="4" cm="1">
        <f t="array" ref="F53">_xlfn.SWITCH(data[[#This Row],[diffusion_type]],"lognormal",0.0001,"normal",-0.01)*IF(data[[#This Row],[asset_class]]="Vol",1,1)</f>
        <v>1E-4</v>
      </c>
      <c r="G53" s="4" t="s">
        <v>11</v>
      </c>
      <c r="H53" s="4" t="s">
        <v>697</v>
      </c>
      <c r="I53" s="4"/>
      <c r="J53" s="4"/>
      <c r="K53" s="4">
        <v>1</v>
      </c>
      <c r="L53" s="4">
        <v>0</v>
      </c>
      <c r="M53" s="4">
        <v>0</v>
      </c>
      <c r="N53" s="4">
        <v>0</v>
      </c>
      <c r="O53" s="4" t="str">
        <f>data[[#This Row],[factor_name]]</f>
        <v>BKLN</v>
      </c>
      <c r="P53" s="4" t="str" cm="1">
        <f t="array" ref="P53">_xlfn.IFS(data[[#This Row],[description_override]]&lt;&gt;"",data[[#This Row],[description_override]],data[[#This Row],[Description_GPT]]&lt;&gt;"",data[[#This Row],[Description_GPT]],data[[#This Row],[Underlying]]&lt;&gt;"",data[[#This Row],[Underlying]],TRUE,"-")</f>
        <v>Bank Loans</v>
      </c>
      <c r="Q53" s="4" t="str">
        <f>_xlfn.XLOOKUP(data[[#This Row],[ticker]],yf_desc[ticker],yf_desc[shortName],"-")</f>
        <v>-</v>
      </c>
      <c r="R53" s="4" t="str">
        <f>_xlfn.XLOOKUP(data[[#This Row],[ticker]],yf_desc[ticker],yf_desc[longName],"-")</f>
        <v>-</v>
      </c>
      <c r="S53" s="4" t="str">
        <f>_xlfn.XLOOKUP(data[[#This Row],[ticker]],yf_desc[ticker],yf_desc[longBusinessSummary],"-")</f>
        <v>-</v>
      </c>
      <c r="T53" s="4"/>
    </row>
    <row r="54" spans="1:20" x14ac:dyDescent="0.25">
      <c r="A54" s="4" t="s">
        <v>46</v>
      </c>
      <c r="B54" s="4" t="s">
        <v>40</v>
      </c>
      <c r="C54" s="4" t="s">
        <v>218</v>
      </c>
      <c r="D54" s="4" t="s">
        <v>455</v>
      </c>
      <c r="E54" s="4" t="s">
        <v>454</v>
      </c>
      <c r="F54" s="4" cm="1">
        <f t="array" ref="F54">_xlfn.SWITCH(data[[#This Row],[diffusion_type]],"lognormal",0.0001,"normal",-0.01)*IF(data[[#This Row],[asset_class]]="Vol",1,1)</f>
        <v>1E-4</v>
      </c>
      <c r="G54" s="4"/>
      <c r="H54" s="4" t="s">
        <v>517</v>
      </c>
      <c r="I54" s="4"/>
      <c r="J54" s="4" t="s">
        <v>516</v>
      </c>
      <c r="K54" s="4">
        <v>1</v>
      </c>
      <c r="L54" s="4">
        <v>0</v>
      </c>
      <c r="M54" s="4">
        <v>0</v>
      </c>
      <c r="N54" s="4">
        <v>0</v>
      </c>
      <c r="O54" s="4" t="str">
        <f>data[[#This Row],[factor_name]]</f>
        <v>AGG</v>
      </c>
      <c r="P54" s="4" t="str" cm="1">
        <f t="array" ref="P54">_xlfn.IFS(data[[#This Row],[description_override]]&lt;&gt;"",data[[#This Row],[description_override]],data[[#This Row],[Description_GPT]]&lt;&gt;"",data[[#This Row],[Description_GPT]],data[[#This Row],[Underlying]]&lt;&gt;"",data[[#This Row],[Underlying]],TRUE,"-")</f>
        <v>US Agg</v>
      </c>
      <c r="Q54" s="4" t="str">
        <f>_xlfn.XLOOKUP(data[[#This Row],[ticker]],yf_desc[ticker],yf_desc[shortName],"-")</f>
        <v>iShares Core U.S. Aggregate Bon</v>
      </c>
      <c r="R54" s="4" t="str">
        <f>_xlfn.XLOOKUP(data[[#This Row],[ticker]],yf_desc[ticker],yf_desc[longName],"-")</f>
        <v>iShares Core U.S. Aggregate Bond ETF</v>
      </c>
      <c r="S54"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4" s="4"/>
    </row>
    <row r="55" spans="1:20" x14ac:dyDescent="0.25">
      <c r="A55" s="4" t="s">
        <v>128</v>
      </c>
      <c r="B55" s="4" t="s">
        <v>40</v>
      </c>
      <c r="C55" s="4" t="s">
        <v>458</v>
      </c>
      <c r="D55" s="4" t="s">
        <v>455</v>
      </c>
      <c r="E55" s="4" t="s">
        <v>467</v>
      </c>
      <c r="F55" s="4" cm="1">
        <f t="array" ref="F55">_xlfn.SWITCH(data[[#This Row],[diffusion_type]],"lognormal",0.0001,"normal",-0.01)*IF(data[[#This Row],[asset_class]]="Vol",1,1)</f>
        <v>-0.01</v>
      </c>
      <c r="G55" s="4"/>
      <c r="H55" s="4"/>
      <c r="I55" s="4"/>
      <c r="J55" s="4" t="s">
        <v>518</v>
      </c>
      <c r="K55" s="4">
        <v>1</v>
      </c>
      <c r="L55" s="4">
        <v>0</v>
      </c>
      <c r="M55" s="4">
        <v>0</v>
      </c>
      <c r="N55" s="4">
        <v>0</v>
      </c>
      <c r="O55" s="4" t="str">
        <f>data[[#This Row],[factor_name]]</f>
        <v>^TNX</v>
      </c>
      <c r="P55" s="4" t="str" cm="1">
        <f t="array" ref="P55">_xlfn.IFS(data[[#This Row],[description_override]]&lt;&gt;"",data[[#This Row],[description_override]],data[[#This Row],[Description_GPT]]&lt;&gt;"",data[[#This Row],[Description_GPT]],data[[#This Row],[Underlying]]&lt;&gt;"",data[[#This Row],[Underlying]],TRUE,"-")</f>
        <v>CBOE Interest Rate 10 Year</v>
      </c>
      <c r="Q55" s="4" t="str">
        <f>_xlfn.XLOOKUP(data[[#This Row],[ticker]],yf_desc[ticker],yf_desc[shortName],"-")</f>
        <v>CBOE Interest Rate 10 Year T No</v>
      </c>
      <c r="R55" s="4" t="str">
        <f>_xlfn.XLOOKUP(data[[#This Row],[ticker]],yf_desc[ticker],yf_desc[longName],"-")</f>
        <v>CBOE Interest Rate 10 Year T No</v>
      </c>
      <c r="S55" s="4">
        <f>_xlfn.XLOOKUP(data[[#This Row],[ticker]],yf_desc[ticker],yf_desc[longBusinessSummary],"-")</f>
        <v>0</v>
      </c>
      <c r="T55" s="4"/>
    </row>
    <row r="56" spans="1:20" x14ac:dyDescent="0.25">
      <c r="A56" s="4" t="s">
        <v>128</v>
      </c>
      <c r="B56" s="4" t="s">
        <v>40</v>
      </c>
      <c r="C56" s="4" t="s">
        <v>51</v>
      </c>
      <c r="D56" s="4" t="s">
        <v>455</v>
      </c>
      <c r="E56" s="4" t="s">
        <v>454</v>
      </c>
      <c r="F56" s="4" cm="1">
        <f t="array" ref="F56">_xlfn.SWITCH(data[[#This Row],[diffusion_type]],"lognormal",0.0001,"normal",-0.01)*IF(data[[#This Row],[asset_class]]="Vol",1,1)</f>
        <v>1E-4</v>
      </c>
      <c r="G56" s="4" t="s">
        <v>236</v>
      </c>
      <c r="H56" s="4" t="str">
        <f>_xlfn.TEXTBEFORE(_xlfn.TEXTAFTER(data[[#This Row],[Description_GPT]],"iShares ")," Bond")</f>
        <v>1-3 Year Treasury</v>
      </c>
      <c r="I56" s="4" t="s">
        <v>52</v>
      </c>
      <c r="J56" s="4" t="s">
        <v>129</v>
      </c>
      <c r="K56" s="4">
        <v>1</v>
      </c>
      <c r="L56" s="4">
        <v>0</v>
      </c>
      <c r="M56" s="4">
        <v>0</v>
      </c>
      <c r="N56" s="4">
        <v>0</v>
      </c>
      <c r="O56" s="4" t="str">
        <f>data[[#This Row],[factor_name]]</f>
        <v>SHY</v>
      </c>
      <c r="P56" s="4" t="str" cm="1">
        <f t="array" ref="P56">_xlfn.IFS(data[[#This Row],[description_override]]&lt;&gt;"",data[[#This Row],[description_override]],data[[#This Row],[Description_GPT]]&lt;&gt;"",data[[#This Row],[Description_GPT]],data[[#This Row],[Underlying]]&lt;&gt;"",data[[#This Row],[Underlying]],TRUE,"-")</f>
        <v>1-3 Year Treasury</v>
      </c>
      <c r="Q56" s="4" t="str">
        <f>_xlfn.XLOOKUP(data[[#This Row],[ticker]],yf_desc[ticker],yf_desc[shortName],"-")</f>
        <v xml:space="preserve">iShares 1-3 Year Treasury Bond </v>
      </c>
      <c r="R56" s="4" t="str">
        <f>_xlfn.XLOOKUP(data[[#This Row],[ticker]],yf_desc[ticker],yf_desc[longName],"-")</f>
        <v>iShares 1-3 Year Treasury Bond ETF</v>
      </c>
      <c r="S56"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6" s="4"/>
    </row>
    <row r="57" spans="1:20" x14ac:dyDescent="0.25">
      <c r="A57" s="4" t="s">
        <v>128</v>
      </c>
      <c r="B57" s="4" t="s">
        <v>40</v>
      </c>
      <c r="C57" s="4" t="s">
        <v>126</v>
      </c>
      <c r="D57" s="4" t="s">
        <v>455</v>
      </c>
      <c r="E57" s="4" t="s">
        <v>454</v>
      </c>
      <c r="F57" s="4" cm="1">
        <f t="array" ref="F57">_xlfn.SWITCH(data[[#This Row],[diffusion_type]],"lognormal",0.0001,"normal",-0.01)*IF(data[[#This Row],[asset_class]]="Vol",1,1)</f>
        <v>1E-4</v>
      </c>
      <c r="G57" s="4" t="s">
        <v>237</v>
      </c>
      <c r="H57" s="4" t="str">
        <f>_xlfn.TEXTBEFORE(_xlfn.TEXTAFTER(data[[#This Row],[Description_GPT]],"iShares ")," Bond")</f>
        <v>3-7 Year Treasury</v>
      </c>
      <c r="I57" s="4" t="s">
        <v>127</v>
      </c>
      <c r="J57" s="4" t="s">
        <v>130</v>
      </c>
      <c r="K57" s="4">
        <v>1</v>
      </c>
      <c r="L57" s="4">
        <v>0</v>
      </c>
      <c r="M57" s="4">
        <v>0</v>
      </c>
      <c r="N57" s="4">
        <v>0</v>
      </c>
      <c r="O57" s="4" t="str">
        <f>data[[#This Row],[factor_name]]</f>
        <v>IEI</v>
      </c>
      <c r="P57" s="4" t="str" cm="1">
        <f t="array" ref="P57">_xlfn.IFS(data[[#This Row],[description_override]]&lt;&gt;"",data[[#This Row],[description_override]],data[[#This Row],[Description_GPT]]&lt;&gt;"",data[[#This Row],[Description_GPT]],data[[#This Row],[Underlying]]&lt;&gt;"",data[[#This Row],[Underlying]],TRUE,"-")</f>
        <v>3-7 Year Treasury</v>
      </c>
      <c r="Q57" s="4" t="str">
        <f>_xlfn.XLOOKUP(data[[#This Row],[ticker]],yf_desc[ticker],yf_desc[shortName],"-")</f>
        <v xml:space="preserve">iShares 3-7 Year Treasury Bond </v>
      </c>
      <c r="R57" s="4" t="str">
        <f>_xlfn.XLOOKUP(data[[#This Row],[ticker]],yf_desc[ticker],yf_desc[longName],"-")</f>
        <v>iShares 3-7 Year Treasury Bond ETF</v>
      </c>
      <c r="S57"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7" s="4"/>
    </row>
    <row r="58" spans="1:20" x14ac:dyDescent="0.25">
      <c r="A58" s="4" t="s">
        <v>128</v>
      </c>
      <c r="B58" s="4" t="s">
        <v>40</v>
      </c>
      <c r="C58" s="4" t="s">
        <v>131</v>
      </c>
      <c r="D58" s="4" t="s">
        <v>455</v>
      </c>
      <c r="E58" s="4" t="s">
        <v>454</v>
      </c>
      <c r="F58" s="4" cm="1">
        <f t="array" ref="F58">_xlfn.SWITCH(data[[#This Row],[diffusion_type]],"lognormal",0.0001,"normal",-0.01)*IF(data[[#This Row],[asset_class]]="Vol",1,1)</f>
        <v>1E-4</v>
      </c>
      <c r="G58" s="4" t="s">
        <v>238</v>
      </c>
      <c r="H58" s="4" t="str">
        <f>_xlfn.TEXTBEFORE(_xlfn.TEXTAFTER(data[[#This Row],[Description_GPT]],"iShares ")," Bond")</f>
        <v>7-10 Year Treasury</v>
      </c>
      <c r="I58" s="4" t="s">
        <v>132</v>
      </c>
      <c r="J58" s="4" t="s">
        <v>133</v>
      </c>
      <c r="K58" s="4">
        <v>1</v>
      </c>
      <c r="L58" s="4">
        <v>1</v>
      </c>
      <c r="M58" s="4">
        <v>0</v>
      </c>
      <c r="N58" s="4">
        <v>0</v>
      </c>
      <c r="O58" s="4" t="str">
        <f>data[[#This Row],[factor_name]]</f>
        <v>IEF</v>
      </c>
      <c r="P58" s="4" t="str" cm="1">
        <f t="array" ref="P58">_xlfn.IFS(data[[#This Row],[description_override]]&lt;&gt;"",data[[#This Row],[description_override]],data[[#This Row],[Description_GPT]]&lt;&gt;"",data[[#This Row],[Description_GPT]],data[[#This Row],[Underlying]]&lt;&gt;"",data[[#This Row],[Underlying]],TRUE,"-")</f>
        <v>7-10 Year Treasury</v>
      </c>
      <c r="Q58" s="4" t="str">
        <f>_xlfn.XLOOKUP(data[[#This Row],[ticker]],yf_desc[ticker],yf_desc[shortName],"-")</f>
        <v>iShares 7-10 Year Treasury Bond</v>
      </c>
      <c r="R58" s="4" t="str">
        <f>_xlfn.XLOOKUP(data[[#This Row],[ticker]],yf_desc[ticker],yf_desc[longName],"-")</f>
        <v>iShares 7-10 Year Treasury Bond ETF</v>
      </c>
      <c r="S58"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8" s="4"/>
    </row>
    <row r="59" spans="1:20" x14ac:dyDescent="0.25">
      <c r="A59" s="4" t="s">
        <v>128</v>
      </c>
      <c r="B59" s="4" t="s">
        <v>40</v>
      </c>
      <c r="C59" s="4" t="s">
        <v>49</v>
      </c>
      <c r="D59" s="4" t="s">
        <v>455</v>
      </c>
      <c r="E59" s="4" t="s">
        <v>454</v>
      </c>
      <c r="F59" s="4" cm="1">
        <f t="array" ref="F59">_xlfn.SWITCH(data[[#This Row],[diffusion_type]],"lognormal",0.0001,"normal",-0.01)*IF(data[[#This Row],[asset_class]]="Vol",1,1)</f>
        <v>1E-4</v>
      </c>
      <c r="G59" s="4" t="s">
        <v>240</v>
      </c>
      <c r="H59" s="4" t="str">
        <f>_xlfn.TEXTBEFORE(_xlfn.TEXTAFTER(data[[#This Row],[Description_GPT]],"iShares ")," Bond")</f>
        <v>20+ Year Treasury</v>
      </c>
      <c r="I59" s="4" t="s">
        <v>50</v>
      </c>
      <c r="J59" s="4" t="s">
        <v>134</v>
      </c>
      <c r="K59" s="4">
        <v>1</v>
      </c>
      <c r="L59" s="4">
        <v>0</v>
      </c>
      <c r="M59" s="4">
        <v>0</v>
      </c>
      <c r="N59" s="4">
        <v>0</v>
      </c>
      <c r="O59" s="4" t="str">
        <f>data[[#This Row],[factor_name]]</f>
        <v>TLT</v>
      </c>
      <c r="P59" s="4" t="str" cm="1">
        <f t="array" ref="P59">_xlfn.IFS(data[[#This Row],[description_override]]&lt;&gt;"",data[[#This Row],[description_override]],data[[#This Row],[Description_GPT]]&lt;&gt;"",data[[#This Row],[Description_GPT]],data[[#This Row],[Underlying]]&lt;&gt;"",data[[#This Row],[Underlying]],TRUE,"-")</f>
        <v>20+ Year Treasury</v>
      </c>
      <c r="Q59" s="4" t="str">
        <f>_xlfn.XLOOKUP(data[[#This Row],[ticker]],yf_desc[ticker],yf_desc[shortName],"-")</f>
        <v xml:space="preserve">iShares 20+ Year Treasury Bond </v>
      </c>
      <c r="R59" s="4" t="str">
        <f>_xlfn.XLOOKUP(data[[#This Row],[ticker]],yf_desc[ticker],yf_desc[longName],"-")</f>
        <v>iShares 20+ Year Treasury Bond ETF</v>
      </c>
      <c r="S59"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9" s="4"/>
    </row>
    <row r="60" spans="1:20" x14ac:dyDescent="0.25">
      <c r="A60" s="4" t="s">
        <v>128</v>
      </c>
      <c r="B60" s="4" t="s">
        <v>40</v>
      </c>
      <c r="C60" s="4" t="s">
        <v>135</v>
      </c>
      <c r="D60" s="4" t="s">
        <v>455</v>
      </c>
      <c r="E60" s="4" t="s">
        <v>454</v>
      </c>
      <c r="F60" s="4" cm="1">
        <f t="array" ref="F60">_xlfn.SWITCH(data[[#This Row],[diffusion_type]],"lognormal",0.0001,"normal",-0.01)*IF(data[[#This Row],[asset_class]]="Vol",1,1)</f>
        <v>1E-4</v>
      </c>
      <c r="G60" s="4"/>
      <c r="H60" s="4"/>
      <c r="I60" s="4" t="s">
        <v>136</v>
      </c>
      <c r="J60" s="4" t="s">
        <v>137</v>
      </c>
      <c r="K60" s="4">
        <v>1</v>
      </c>
      <c r="L60" s="4">
        <v>0</v>
      </c>
      <c r="M60" s="4">
        <v>0</v>
      </c>
      <c r="N60" s="4">
        <v>0</v>
      </c>
      <c r="O60" s="4" t="str">
        <f>data[[#This Row],[factor_name]]</f>
        <v>TIP</v>
      </c>
      <c r="P60" s="4" t="str" cm="1">
        <f t="array" ref="P60">_xlfn.IFS(data[[#This Row],[description_override]]&lt;&gt;"",data[[#This Row],[description_override]],data[[#This Row],[Description_GPT]]&lt;&gt;"",data[[#This Row],[Description_GPT]],data[[#This Row],[Underlying]]&lt;&gt;"",data[[#This Row],[Underlying]],TRUE,"-")</f>
        <v>iShares TIPS Bond ETF</v>
      </c>
      <c r="Q60" s="4" t="str">
        <f>_xlfn.XLOOKUP(data[[#This Row],[ticker]],yf_desc[ticker],yf_desc[shortName],"-")</f>
        <v>iShares TIPS Bond ETF</v>
      </c>
      <c r="R60" s="4" t="str">
        <f>_xlfn.XLOOKUP(data[[#This Row],[ticker]],yf_desc[ticker],yf_desc[longName],"-")</f>
        <v>iShares TIPS Bond ETF</v>
      </c>
      <c r="S60"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60" s="4"/>
    </row>
    <row r="61" spans="1:20" x14ac:dyDescent="0.25">
      <c r="A61" s="4" t="s">
        <v>128</v>
      </c>
      <c r="B61" s="4" t="s">
        <v>40</v>
      </c>
      <c r="C61" s="4" t="s">
        <v>344</v>
      </c>
      <c r="D61" s="4" t="s">
        <v>455</v>
      </c>
      <c r="E61" s="4" t="s">
        <v>454</v>
      </c>
      <c r="F61" s="4" cm="1">
        <f t="array" ref="F61">_xlfn.SWITCH(data[[#This Row],[diffusion_type]],"lognormal",0.0001,"normal",-0.01)*IF(data[[#This Row],[asset_class]]="Vol",1,1)</f>
        <v>1E-4</v>
      </c>
      <c r="G61" s="4"/>
      <c r="H61" s="4"/>
      <c r="I61" s="4"/>
      <c r="J61" s="4" t="s">
        <v>519</v>
      </c>
      <c r="K61" s="4">
        <v>1</v>
      </c>
      <c r="L61" s="4">
        <v>0</v>
      </c>
      <c r="M61" s="4">
        <v>0</v>
      </c>
      <c r="N61" s="4">
        <v>0</v>
      </c>
      <c r="O61" s="4" t="str">
        <f>data[[#This Row],[factor_name]]</f>
        <v>VTIP</v>
      </c>
      <c r="P61" s="4" t="str" cm="1">
        <f t="array" ref="P61">_xlfn.IFS(data[[#This Row],[description_override]]&lt;&gt;"",data[[#This Row],[description_override]],data[[#This Row],[Description_GPT]]&lt;&gt;"",data[[#This Row],[Description_GPT]],data[[#This Row],[Underlying]]&lt;&gt;"",data[[#This Row],[Underlying]],TRUE,"-")</f>
        <v>Short-Term Inflation-Protected Securities ETF</v>
      </c>
      <c r="Q61" s="4" t="str">
        <f>_xlfn.XLOOKUP(data[[#This Row],[ticker]],yf_desc[ticker],yf_desc[shortName],"-")</f>
        <v>Vanguard Short-Term Inflation-P</v>
      </c>
      <c r="R61" s="4" t="str">
        <f>_xlfn.XLOOKUP(data[[#This Row],[ticker]],yf_desc[ticker],yf_desc[longName],"-")</f>
        <v>Vanguard Short-Term Inflation-Protected Securities Index Fund ETF Shares</v>
      </c>
      <c r="S61" s="4" t="str">
        <f>_xlfn.XLOOKUP(data[[#This Row],[ticker]],yf_desc[ticker],yf_desc[longBusinessSummary],"-")</f>
        <v>The index is a market-capitalization-weighted index that includes all inflation-protected public obligations issued by the U.S. Treasury with remaining maturities of less than 5 years.</v>
      </c>
      <c r="T61" s="4"/>
    </row>
    <row r="62" spans="1:20" x14ac:dyDescent="0.25">
      <c r="A62" s="4" t="s">
        <v>128</v>
      </c>
      <c r="B62" s="4" t="s">
        <v>40</v>
      </c>
      <c r="C62" s="4" t="s">
        <v>53</v>
      </c>
      <c r="D62" s="4" t="s">
        <v>455</v>
      </c>
      <c r="E62" s="4" t="s">
        <v>454</v>
      </c>
      <c r="F62" s="4" cm="1">
        <f t="array" ref="F62">_xlfn.SWITCH(data[[#This Row],[diffusion_type]],"lognormal",0.0001,"normal",-0.01)*IF(data[[#This Row],[asset_class]]="Vol",1,1)</f>
        <v>1E-4</v>
      </c>
      <c r="G62" s="4"/>
      <c r="H62" s="4"/>
      <c r="I62" s="4" t="s">
        <v>54</v>
      </c>
      <c r="J62" s="4" t="s">
        <v>105</v>
      </c>
      <c r="K62" s="4">
        <v>0</v>
      </c>
      <c r="L62" s="4">
        <v>0</v>
      </c>
      <c r="M62" s="4">
        <v>0</v>
      </c>
      <c r="N62" s="4">
        <v>0</v>
      </c>
      <c r="O62" s="4" t="str">
        <f>data[[#This Row],[factor_name]]</f>
        <v>MBB</v>
      </c>
      <c r="P62" s="4" t="str" cm="1">
        <f t="array" ref="P62">_xlfn.IFS(data[[#This Row],[description_override]]&lt;&gt;"",data[[#This Row],[description_override]],data[[#This Row],[Description_GPT]]&lt;&gt;"",data[[#This Row],[Description_GPT]],data[[#This Row],[Underlying]]&lt;&gt;"",data[[#This Row],[Underlying]],TRUE,"-")</f>
        <v>iShares MBS ETF</v>
      </c>
      <c r="Q62" s="4" t="str">
        <f>_xlfn.XLOOKUP(data[[#This Row],[ticker]],yf_desc[ticker],yf_desc[shortName],"-")</f>
        <v>iShares MBS ETF</v>
      </c>
      <c r="R62" s="4" t="str">
        <f>_xlfn.XLOOKUP(data[[#This Row],[ticker]],yf_desc[ticker],yf_desc[longName],"-")</f>
        <v>iShares MBS ETF</v>
      </c>
      <c r="S62"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62" s="4"/>
    </row>
    <row r="63" spans="1:20" x14ac:dyDescent="0.25">
      <c r="A63" s="4" t="s">
        <v>128</v>
      </c>
      <c r="B63" s="4" t="s">
        <v>40</v>
      </c>
      <c r="C63" s="4" t="s">
        <v>14</v>
      </c>
      <c r="D63" s="4" t="s">
        <v>455</v>
      </c>
      <c r="E63" s="4" t="s">
        <v>454</v>
      </c>
      <c r="F63" s="4" cm="1">
        <f t="array" ref="F63">_xlfn.SWITCH(data[[#This Row],[diffusion_type]],"lognormal",0.0001,"normal",-0.01)*IF(data[[#This Row],[asset_class]]="Vol",1,1)</f>
        <v>1E-4</v>
      </c>
      <c r="G63" s="4"/>
      <c r="H63" s="4"/>
      <c r="I63" t="s">
        <v>152</v>
      </c>
      <c r="J63" s="4" t="s">
        <v>153</v>
      </c>
      <c r="K63" s="4">
        <v>0</v>
      </c>
      <c r="L63" s="4">
        <v>0</v>
      </c>
      <c r="M63" s="4">
        <v>0</v>
      </c>
      <c r="N63" s="4">
        <v>0</v>
      </c>
      <c r="O63" s="4" t="str">
        <f>data[[#This Row],[factor_name]]</f>
        <v>MBTA</v>
      </c>
      <c r="P63" s="4" t="str" cm="1">
        <f t="array" ref="P63">_xlfn.IFS(data[[#This Row],[description_override]]&lt;&gt;"",data[[#This Row],[description_override]],data[[#This Row],[Description_GPT]]&lt;&gt;"",data[[#This Row],[Description_GPT]],data[[#This Row],[Underlying]]&lt;&gt;"",data[[#This Row],[Underlying]],TRUE,"-")</f>
        <v>Simplify Mortgage Backed Securities ETF</v>
      </c>
      <c r="Q63" s="4" t="str">
        <f>_xlfn.XLOOKUP(data[[#This Row],[ticker]],yf_desc[ticker],yf_desc[shortName],"-")</f>
        <v>-</v>
      </c>
      <c r="R63" s="4" t="str">
        <f>_xlfn.XLOOKUP(data[[#This Row],[ticker]],yf_desc[ticker],yf_desc[longName],"-")</f>
        <v>-</v>
      </c>
      <c r="S63" s="4" t="str">
        <f>_xlfn.XLOOKUP(data[[#This Row],[ticker]],yf_desc[ticker],yf_desc[longBusinessSummary],"-")</f>
        <v>-</v>
      </c>
      <c r="T63" s="4"/>
    </row>
    <row r="64" spans="1:20" x14ac:dyDescent="0.25">
      <c r="A64" s="4" t="s">
        <v>128</v>
      </c>
      <c r="B64" s="4" t="s">
        <v>40</v>
      </c>
      <c r="C64" s="4" t="s">
        <v>15</v>
      </c>
      <c r="D64" s="4" t="s">
        <v>455</v>
      </c>
      <c r="E64" s="4" t="s">
        <v>454</v>
      </c>
      <c r="F64" s="4" cm="1">
        <f t="array" ref="F64">_xlfn.SWITCH(data[[#This Row],[diffusion_type]],"lognormal",0.0001,"normal",-0.01)*IF(data[[#This Row],[asset_class]]="Vol",1,1)</f>
        <v>1E-4</v>
      </c>
      <c r="G64" s="4"/>
      <c r="H64" s="4"/>
      <c r="I64" s="4" t="s">
        <v>55</v>
      </c>
      <c r="J64" s="4" t="s">
        <v>106</v>
      </c>
      <c r="K64" s="4">
        <v>1</v>
      </c>
      <c r="L64" s="4">
        <v>0</v>
      </c>
      <c r="M64" s="4">
        <v>0</v>
      </c>
      <c r="N64" s="4">
        <v>0</v>
      </c>
      <c r="O64" s="4" t="str">
        <f>data[[#This Row],[factor_name]]</f>
        <v>AGNC</v>
      </c>
      <c r="P64" s="4" t="str" cm="1">
        <f t="array" ref="P64">_xlfn.IFS(data[[#This Row],[description_override]]&lt;&gt;"",data[[#This Row],[description_override]],data[[#This Row],[Description_GPT]]&lt;&gt;"",data[[#This Row],[Description_GPT]],data[[#This Row],[Underlying]]&lt;&gt;"",data[[#This Row],[Underlying]],TRUE,"-")</f>
        <v>AGNC Investment Corp.</v>
      </c>
      <c r="Q64" s="4" t="str">
        <f>_xlfn.XLOOKUP(data[[#This Row],[ticker]],yf_desc[ticker],yf_desc[shortName],"-")</f>
        <v>AGNC Investment Corp.</v>
      </c>
      <c r="R64" s="4" t="str">
        <f>_xlfn.XLOOKUP(data[[#This Row],[ticker]],yf_desc[ticker],yf_desc[longName],"-")</f>
        <v>AGNC Investment Corp.</v>
      </c>
      <c r="S64"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4" s="4"/>
    </row>
    <row r="65" spans="1:20" x14ac:dyDescent="0.25">
      <c r="A65" s="4" t="s">
        <v>128</v>
      </c>
      <c r="B65" s="4" t="s">
        <v>40</v>
      </c>
      <c r="C65" s="4" t="s">
        <v>346</v>
      </c>
      <c r="D65" s="4" t="s">
        <v>455</v>
      </c>
      <c r="E65" s="4" t="s">
        <v>454</v>
      </c>
      <c r="F65" s="4" cm="1">
        <f t="array" ref="F65">_xlfn.SWITCH(data[[#This Row],[diffusion_type]],"lognormal",0.0001,"normal",-0.01)*IF(data[[#This Row],[asset_class]]="Vol",1,1)</f>
        <v>1E-4</v>
      </c>
      <c r="G65" s="4"/>
      <c r="H65" s="4"/>
      <c r="I65" s="4"/>
      <c r="J65" s="4" t="s">
        <v>520</v>
      </c>
      <c r="K65" s="4">
        <v>1</v>
      </c>
      <c r="L65" s="4">
        <v>0</v>
      </c>
      <c r="M65" s="4">
        <v>0</v>
      </c>
      <c r="N65" s="4">
        <v>0</v>
      </c>
      <c r="O65" s="4" t="str">
        <f>data[[#This Row],[factor_name]]</f>
        <v>VMBS</v>
      </c>
      <c r="P65" s="4" t="str" cm="1">
        <f t="array" ref="P65">_xlfn.IFS(data[[#This Row],[description_override]]&lt;&gt;"",data[[#This Row],[description_override]],data[[#This Row],[Description_GPT]]&lt;&gt;"",data[[#This Row],[Description_GPT]],data[[#This Row],[Underlying]]&lt;&gt;"",data[[#This Row],[Underlying]],TRUE,"-")</f>
        <v>Mortgage-Backed Securities ETF</v>
      </c>
      <c r="Q65" s="4" t="str">
        <f>_xlfn.XLOOKUP(data[[#This Row],[ticker]],yf_desc[ticker],yf_desc[shortName],"-")</f>
        <v>Vanguard Mortgage-Backed Securi</v>
      </c>
      <c r="R65" s="4" t="str">
        <f>_xlfn.XLOOKUP(data[[#This Row],[ticker]],yf_desc[ticker],yf_desc[longName],"-")</f>
        <v>Vanguard Mortgage-Backed Securities Index Fund ETF Shares</v>
      </c>
      <c r="S65"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5" s="4"/>
    </row>
    <row r="66" spans="1:20" x14ac:dyDescent="0.25">
      <c r="A66" s="4" t="s">
        <v>128</v>
      </c>
      <c r="B66" s="4" t="s">
        <v>40</v>
      </c>
      <c r="C66" s="4" t="s">
        <v>345</v>
      </c>
      <c r="D66" s="4" t="s">
        <v>455</v>
      </c>
      <c r="E66" s="4" t="s">
        <v>454</v>
      </c>
      <c r="F66" s="4" cm="1">
        <f t="array" ref="F66">_xlfn.SWITCH(data[[#This Row],[diffusion_type]],"lognormal",0.0001,"normal",-0.01)*IF(data[[#This Row],[asset_class]]="Vol",1,1)</f>
        <v>1E-4</v>
      </c>
      <c r="G66" s="4"/>
      <c r="H66" s="4"/>
      <c r="I66" s="4"/>
      <c r="J66" s="4" t="s">
        <v>417</v>
      </c>
      <c r="K66" s="4">
        <v>1</v>
      </c>
      <c r="L66" s="4">
        <v>0</v>
      </c>
      <c r="M66" s="4">
        <v>0</v>
      </c>
      <c r="N66" s="4">
        <v>0</v>
      </c>
      <c r="O66" s="4" t="str">
        <f>data[[#This Row],[factor_name]]</f>
        <v>CMBS</v>
      </c>
      <c r="P66" s="4" t="str" cm="1">
        <f t="array" ref="P66">_xlfn.IFS(data[[#This Row],[description_override]]&lt;&gt;"",data[[#This Row],[description_override]],data[[#This Row],[Description_GPT]]&lt;&gt;"",data[[#This Row],[Description_GPT]],data[[#This Row],[Underlying]]&lt;&gt;"",data[[#This Row],[Underlying]],TRUE,"-")</f>
        <v>iShares CMBS ETF</v>
      </c>
      <c r="Q66" s="4" t="str">
        <f>_xlfn.XLOOKUP(data[[#This Row],[ticker]],yf_desc[ticker],yf_desc[shortName],"-")</f>
        <v>iShares CMBS Bond ETF</v>
      </c>
      <c r="R66" s="4" t="str">
        <f>_xlfn.XLOOKUP(data[[#This Row],[ticker]],yf_desc[ticker],yf_desc[longName],"-")</f>
        <v>iShares CMBS ETF</v>
      </c>
      <c r="S66"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6" s="4"/>
    </row>
    <row r="67" spans="1:20" x14ac:dyDescent="0.25">
      <c r="A67" s="4" t="s">
        <v>128</v>
      </c>
      <c r="B67" s="4" t="s">
        <v>74</v>
      </c>
      <c r="C67" s="4" t="s">
        <v>97</v>
      </c>
      <c r="D67" s="4" t="s">
        <v>455</v>
      </c>
      <c r="E67" s="4" t="s">
        <v>454</v>
      </c>
      <c r="F67" s="4" cm="1">
        <f t="array" ref="F67">_xlfn.SWITCH(data[[#This Row],[diffusion_type]],"lognormal",0.0001,"normal",-0.01)*IF(data[[#This Row],[asset_class]]="Vol",1,1)</f>
        <v>1E-4</v>
      </c>
      <c r="G67" s="4"/>
      <c r="H67" s="4"/>
      <c r="I67" s="4" t="s">
        <v>98</v>
      </c>
      <c r="J67" s="4" t="s">
        <v>124</v>
      </c>
      <c r="K67" s="4">
        <v>1</v>
      </c>
      <c r="L67" s="4">
        <v>0</v>
      </c>
      <c r="M67" s="4">
        <v>0</v>
      </c>
      <c r="N67" s="4">
        <v>0</v>
      </c>
      <c r="O67" s="4" t="str">
        <f>data[[#This Row],[factor_name]]</f>
        <v>EMB</v>
      </c>
      <c r="P67" s="4" t="str" cm="1">
        <f t="array" ref="P67">_xlfn.IFS(data[[#This Row],[description_override]]&lt;&gt;"",data[[#This Row],[description_override]],data[[#This Row],[Description_GPT]]&lt;&gt;"",data[[#This Row],[Description_GPT]],data[[#This Row],[Underlying]]&lt;&gt;"",data[[#This Row],[Underlying]],TRUE,"-")</f>
        <v>iShares J.P. Morgan USD Emerging Markets Bond ETF</v>
      </c>
      <c r="Q67" s="4" t="str">
        <f>_xlfn.XLOOKUP(data[[#This Row],[ticker]],yf_desc[ticker],yf_desc[shortName],"-")</f>
        <v>iShares J.P. Morgan USD Emergin</v>
      </c>
      <c r="R67" s="4" t="str">
        <f>_xlfn.XLOOKUP(data[[#This Row],[ticker]],yf_desc[ticker],yf_desc[longName],"-")</f>
        <v>iShares J.P. Morgan USD Emerging Markets Bond ETF</v>
      </c>
      <c r="S67"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7" s="4"/>
    </row>
    <row r="68" spans="1:20" x14ac:dyDescent="0.25">
      <c r="A68" s="4" t="s">
        <v>128</v>
      </c>
      <c r="B68" s="4" t="s">
        <v>74</v>
      </c>
      <c r="C68" s="4" t="s">
        <v>349</v>
      </c>
      <c r="D68" s="4" t="s">
        <v>455</v>
      </c>
      <c r="E68" s="4" t="s">
        <v>454</v>
      </c>
      <c r="F68" s="4" cm="1">
        <f t="array" ref="F68">_xlfn.SWITCH(data[[#This Row],[diffusion_type]],"lognormal",0.0001,"normal",-0.01)*IF(data[[#This Row],[asset_class]]="Vol",1,1)</f>
        <v>1E-4</v>
      </c>
      <c r="G68" s="4"/>
      <c r="H68" s="4"/>
      <c r="I68" s="4"/>
      <c r="J68" s="4" t="s">
        <v>521</v>
      </c>
      <c r="K68" s="4">
        <v>0</v>
      </c>
      <c r="L68" s="4">
        <v>0</v>
      </c>
      <c r="M68" s="4">
        <v>0</v>
      </c>
      <c r="N68" s="4">
        <v>0</v>
      </c>
      <c r="O68" s="4" t="str">
        <f>data[[#This Row],[factor_name]]</f>
        <v>EMHY</v>
      </c>
      <c r="P68" s="4" t="str" cm="1">
        <f t="array" ref="P68">_xlfn.IFS(data[[#This Row],[description_override]]&lt;&gt;"",data[[#This Row],[description_override]],data[[#This Row],[Description_GPT]]&lt;&gt;"",data[[#This Row],[Description_GPT]],data[[#This Row],[Underlying]]&lt;&gt;"",data[[#This Row],[Underlying]],TRUE,"-")</f>
        <v>iShares JP Morgan EM High Yield Bond ETF</v>
      </c>
      <c r="Q68" s="4" t="str">
        <f>_xlfn.XLOOKUP(data[[#This Row],[ticker]],yf_desc[ticker],yf_desc[shortName],"-")</f>
        <v>iShares J.P. Morgan EM High Yie</v>
      </c>
      <c r="R68" s="4" t="str">
        <f>_xlfn.XLOOKUP(data[[#This Row],[ticker]],yf_desc[ticker],yf_desc[longName],"-")</f>
        <v>iShares J.P. Morgan EM High Yield Bond ETF</v>
      </c>
      <c r="S68"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8" s="4"/>
    </row>
    <row r="69" spans="1:20" x14ac:dyDescent="0.25">
      <c r="A69" s="4" t="s">
        <v>128</v>
      </c>
      <c r="B69" t="s">
        <v>74</v>
      </c>
      <c r="C69" t="s">
        <v>75</v>
      </c>
      <c r="D69" s="4" t="s">
        <v>455</v>
      </c>
      <c r="E69" s="4" t="s">
        <v>454</v>
      </c>
      <c r="F69" s="4" cm="1">
        <f t="array" ref="F69">_xlfn.SWITCH(data[[#This Row],[diffusion_type]],"lognormal",0.0001,"normal",-0.01)*IF(data[[#This Row],[asset_class]]="Vol",1,1)</f>
        <v>1E-4</v>
      </c>
      <c r="I69" t="s">
        <v>76</v>
      </c>
      <c r="J69" t="s">
        <v>114</v>
      </c>
      <c r="K69" s="4">
        <v>0</v>
      </c>
      <c r="L69" s="4">
        <v>0</v>
      </c>
      <c r="M69" s="4">
        <v>0</v>
      </c>
      <c r="N69" s="4">
        <v>0</v>
      </c>
      <c r="O69" s="4" t="str">
        <f>data[[#This Row],[factor_name]]</f>
        <v>CEW</v>
      </c>
      <c r="P69" s="4" t="str" cm="1">
        <f t="array" ref="P69">_xlfn.IFS(data[[#This Row],[description_override]]&lt;&gt;"",data[[#This Row],[description_override]],data[[#This Row],[Description_GPT]]&lt;&gt;"",data[[#This Row],[Description_GPT]],data[[#This Row],[Underlying]]&lt;&gt;"",data[[#This Row],[Underlying]],TRUE,"-")</f>
        <v>WisdomTree Emerging Markets Local Debt Fund</v>
      </c>
      <c r="Q69" s="4" t="str">
        <f>_xlfn.XLOOKUP(data[[#This Row],[ticker]],yf_desc[ticker],yf_desc[shortName],"-")</f>
        <v>WisdomTree Emerging Currency St</v>
      </c>
      <c r="R69" s="4" t="str">
        <f>_xlfn.XLOOKUP(data[[#This Row],[ticker]],yf_desc[ticker],yf_desc[longName],"-")</f>
        <v>WisdomTree Emerging Currency Strategy Fund</v>
      </c>
      <c r="S69"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9" s="4"/>
    </row>
    <row r="70" spans="1:20" x14ac:dyDescent="0.25">
      <c r="A70" s="4" t="s">
        <v>128</v>
      </c>
      <c r="B70" s="4" t="s">
        <v>74</v>
      </c>
      <c r="C70" s="4" t="s">
        <v>99</v>
      </c>
      <c r="D70" s="4" t="s">
        <v>455</v>
      </c>
      <c r="E70" s="4" t="s">
        <v>454</v>
      </c>
      <c r="F70" s="4" cm="1">
        <f t="array" ref="F70">_xlfn.SWITCH(data[[#This Row],[diffusion_type]],"lognormal",0.0001,"normal",-0.01)*IF(data[[#This Row],[asset_class]]="Vol",1,1)</f>
        <v>1E-4</v>
      </c>
      <c r="G70" s="4"/>
      <c r="H70" s="4"/>
      <c r="I70" s="4" t="s">
        <v>100</v>
      </c>
      <c r="J70" s="4" t="s">
        <v>125</v>
      </c>
      <c r="K70" s="4">
        <v>0</v>
      </c>
      <c r="L70" s="4">
        <v>0</v>
      </c>
      <c r="M70" s="4">
        <v>0</v>
      </c>
      <c r="N70" s="4">
        <v>0</v>
      </c>
      <c r="O70" s="4" t="str">
        <f>data[[#This Row],[factor_name]]</f>
        <v>IGOV</v>
      </c>
      <c r="P70" s="4" t="str" cm="1">
        <f t="array" ref="P70">_xlfn.IFS(data[[#This Row],[description_override]]&lt;&gt;"",data[[#This Row],[description_override]],data[[#This Row],[Description_GPT]]&lt;&gt;"",data[[#This Row],[Description_GPT]],data[[#This Row],[Underlying]]&lt;&gt;"",data[[#This Row],[Underlying]],TRUE,"-")</f>
        <v>iShares International Government Bonds ETF</v>
      </c>
      <c r="Q70" s="4" t="str">
        <f>_xlfn.XLOOKUP(data[[#This Row],[ticker]],yf_desc[ticker],yf_desc[shortName],"-")</f>
        <v xml:space="preserve">iShares International Treasury </v>
      </c>
      <c r="R70" s="4" t="str">
        <f>_xlfn.XLOOKUP(data[[#This Row],[ticker]],yf_desc[ticker],yf_desc[longName],"-")</f>
        <v>iShares International Treasury Bond ETF</v>
      </c>
      <c r="S70"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70" s="4"/>
    </row>
    <row r="71" spans="1:20" x14ac:dyDescent="0.25">
      <c r="A71" s="4" t="s">
        <v>56</v>
      </c>
      <c r="B71" s="4" t="s">
        <v>40</v>
      </c>
      <c r="C71" s="4" t="s">
        <v>57</v>
      </c>
      <c r="D71" s="4" t="s">
        <v>455</v>
      </c>
      <c r="E71" s="4" t="s">
        <v>454</v>
      </c>
      <c r="F71" s="4" cm="1">
        <f t="array" ref="F71">_xlfn.SWITCH(data[[#This Row],[diffusion_type]],"lognormal",0.0001,"normal",-0.01)*IF(data[[#This Row],[asset_class]]="Vol",1,1)</f>
        <v>1E-4</v>
      </c>
      <c r="G71" s="4" t="s">
        <v>263</v>
      </c>
      <c r="H71" s="4"/>
      <c r="I71" s="4" t="s">
        <v>58</v>
      </c>
      <c r="J71" s="4" t="s">
        <v>107</v>
      </c>
      <c r="K71" s="4">
        <v>1</v>
      </c>
      <c r="L71" s="4">
        <v>0</v>
      </c>
      <c r="M71" s="4">
        <v>0</v>
      </c>
      <c r="N71" s="4">
        <v>0</v>
      </c>
      <c r="O71" s="4" t="str">
        <f>data[[#This Row],[factor_name]]</f>
        <v>GLD</v>
      </c>
      <c r="P71" s="4" t="str" cm="1">
        <f t="array" ref="P71">_xlfn.IFS(data[[#This Row],[description_override]]&lt;&gt;"",data[[#This Row],[description_override]],data[[#This Row],[Description_GPT]]&lt;&gt;"",data[[#This Row],[Description_GPT]],data[[#This Row],[Underlying]]&lt;&gt;"",data[[#This Row],[Underlying]],TRUE,"-")</f>
        <v>SPDR Gold Shares</v>
      </c>
      <c r="Q71" s="4" t="str">
        <f>_xlfn.XLOOKUP(data[[#This Row],[ticker]],yf_desc[ticker],yf_desc[shortName],"-")</f>
        <v>SPDR Gold Trust</v>
      </c>
      <c r="R71" s="4" t="str">
        <f>_xlfn.XLOOKUP(data[[#This Row],[ticker]],yf_desc[ticker],yf_desc[longName],"-")</f>
        <v>SPDR Gold Shares</v>
      </c>
      <c r="S71"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71" s="4"/>
    </row>
    <row r="72" spans="1:20" x14ac:dyDescent="0.25">
      <c r="A72" s="4" t="s">
        <v>56</v>
      </c>
      <c r="B72" s="4" t="s">
        <v>40</v>
      </c>
      <c r="C72" s="4" t="s">
        <v>59</v>
      </c>
      <c r="D72" s="4" t="s">
        <v>455</v>
      </c>
      <c r="E72" s="4" t="s">
        <v>454</v>
      </c>
      <c r="F72" s="4" cm="1">
        <f t="array" ref="F72">_xlfn.SWITCH(data[[#This Row],[diffusion_type]],"lognormal",0.0001,"normal",-0.01)*IF(data[[#This Row],[asset_class]]="Vol",1,1)</f>
        <v>1E-4</v>
      </c>
      <c r="G72" s="4" t="s">
        <v>703</v>
      </c>
      <c r="H72" s="4"/>
      <c r="I72" s="4" t="s">
        <v>60</v>
      </c>
      <c r="J72" s="4" t="s">
        <v>108</v>
      </c>
      <c r="K72" s="4">
        <v>1</v>
      </c>
      <c r="L72" s="4">
        <v>0</v>
      </c>
      <c r="M72" s="4">
        <v>0</v>
      </c>
      <c r="N72" s="4">
        <v>0</v>
      </c>
      <c r="O72" s="4" t="str">
        <f>data[[#This Row],[factor_name]]</f>
        <v>SLV</v>
      </c>
      <c r="P72" s="4" t="str" cm="1">
        <f t="array" ref="P72">_xlfn.IFS(data[[#This Row],[description_override]]&lt;&gt;"",data[[#This Row],[description_override]],data[[#This Row],[Description_GPT]]&lt;&gt;"",data[[#This Row],[Description_GPT]],data[[#This Row],[Underlying]]&lt;&gt;"",data[[#This Row],[Underlying]],TRUE,"-")</f>
        <v>iShares Silver Trust</v>
      </c>
      <c r="Q72" s="4" t="str">
        <f>_xlfn.XLOOKUP(data[[#This Row],[ticker]],yf_desc[ticker],yf_desc[shortName],"-")</f>
        <v>iShares Silver Trust</v>
      </c>
      <c r="R72" s="4" t="str">
        <f>_xlfn.XLOOKUP(data[[#This Row],[ticker]],yf_desc[ticker],yf_desc[longName],"-")</f>
        <v>iShares Silver Trust</v>
      </c>
      <c r="S72"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72" s="4"/>
    </row>
    <row r="73" spans="1:20" x14ac:dyDescent="0.25">
      <c r="A73" s="4" t="s">
        <v>56</v>
      </c>
      <c r="B73" s="4" t="s">
        <v>40</v>
      </c>
      <c r="C73" s="4" t="s">
        <v>61</v>
      </c>
      <c r="D73" s="4" t="s">
        <v>455</v>
      </c>
      <c r="E73" s="4" t="s">
        <v>454</v>
      </c>
      <c r="F73" s="4" cm="1">
        <f t="array" ref="F73">_xlfn.SWITCH(data[[#This Row],[diffusion_type]],"lognormal",0.0001,"normal",-0.01)*IF(data[[#This Row],[asset_class]]="Vol",1,1)</f>
        <v>1E-4</v>
      </c>
      <c r="G73" s="4" t="s">
        <v>704</v>
      </c>
      <c r="H73" s="4"/>
      <c r="I73" s="4" t="s">
        <v>62</v>
      </c>
      <c r="J73" s="4" t="s">
        <v>109</v>
      </c>
      <c r="K73" s="4">
        <v>1</v>
      </c>
      <c r="L73" s="4">
        <v>0</v>
      </c>
      <c r="M73" s="4">
        <v>0</v>
      </c>
      <c r="N73" s="4">
        <v>0</v>
      </c>
      <c r="O73" s="4" t="str">
        <f>data[[#This Row],[factor_name]]</f>
        <v>USO</v>
      </c>
      <c r="P73" s="4" t="str" cm="1">
        <f t="array" ref="P73">_xlfn.IFS(data[[#This Row],[description_override]]&lt;&gt;"",data[[#This Row],[description_override]],data[[#This Row],[Description_GPT]]&lt;&gt;"",data[[#This Row],[Description_GPT]],data[[#This Row],[Underlying]]&lt;&gt;"",data[[#This Row],[Underlying]],TRUE,"-")</f>
        <v>United States Oil Fund</v>
      </c>
      <c r="Q73" s="4" t="str">
        <f>_xlfn.XLOOKUP(data[[#This Row],[ticker]],yf_desc[ticker],yf_desc[shortName],"-")</f>
        <v>United States Oil Fund</v>
      </c>
      <c r="R73" s="4" t="str">
        <f>_xlfn.XLOOKUP(data[[#This Row],[ticker]],yf_desc[ticker],yf_desc[longName],"-")</f>
        <v>United States Oil Fund, LP</v>
      </c>
      <c r="S73" s="4" t="str">
        <f>_xlfn.XLOOKUP(data[[#This Row],[ticker]],yf_desc[ticker],yf_desc[longBusinessSummary],"-")</f>
        <v>USO invests primarily in futures contracts for light, sweet crude oil, other types of crude oil, diesel-heating oil, gasoline, natural gas, and other petroleum-based fuels.</v>
      </c>
      <c r="T73" s="4"/>
    </row>
    <row r="74" spans="1:20" x14ac:dyDescent="0.25">
      <c r="A74" s="4" t="s">
        <v>56</v>
      </c>
      <c r="B74" s="4" t="s">
        <v>40</v>
      </c>
      <c r="C74" s="4" t="s">
        <v>698</v>
      </c>
      <c r="D74" s="4" t="s">
        <v>455</v>
      </c>
      <c r="E74" s="4" t="s">
        <v>454</v>
      </c>
      <c r="F74" s="4" cm="1">
        <f t="array" ref="F74">_xlfn.SWITCH(data[[#This Row],[diffusion_type]],"lognormal",0.0001,"normal",-0.01)*IF(data[[#This Row],[asset_class]]="Vol",1,1)</f>
        <v>1E-4</v>
      </c>
      <c r="G74" s="4" t="s">
        <v>705</v>
      </c>
      <c r="H74" s="4"/>
      <c r="I74" s="4"/>
      <c r="J74" s="4"/>
      <c r="K74" s="4"/>
      <c r="L74" s="4"/>
      <c r="M74" s="4"/>
      <c r="N74" s="4"/>
      <c r="O74" s="4" t="str">
        <f>data[[#This Row],[factor_name]]</f>
        <v>DBA</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699</v>
      </c>
      <c r="D75" s="4" t="s">
        <v>455</v>
      </c>
      <c r="E75" s="4" t="s">
        <v>454</v>
      </c>
      <c r="F75" s="4" cm="1">
        <f t="array" ref="F75">_xlfn.SWITCH(data[[#This Row],[diffusion_type]],"lognormal",0.0001,"normal",-0.01)*IF(data[[#This Row],[asset_class]]="Vol",1,1)</f>
        <v>1E-4</v>
      </c>
      <c r="G75" s="4" t="s">
        <v>709</v>
      </c>
      <c r="H75" s="4"/>
      <c r="I75" s="4"/>
      <c r="J75" s="4"/>
      <c r="K75" s="4"/>
      <c r="L75" s="4"/>
      <c r="M75" s="4"/>
      <c r="N75" s="4"/>
      <c r="O75" s="4" t="str">
        <f>data[[#This Row],[factor_name]]</f>
        <v>DBB</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56</v>
      </c>
      <c r="B76" s="4" t="s">
        <v>40</v>
      </c>
      <c r="C76" s="4" t="s">
        <v>63</v>
      </c>
      <c r="D76" s="4" t="s">
        <v>455</v>
      </c>
      <c r="E76" s="4" t="s">
        <v>454</v>
      </c>
      <c r="F76" s="4" cm="1">
        <f t="array" ref="F76">_xlfn.SWITCH(data[[#This Row],[diffusion_type]],"lognormal",0.0001,"normal",-0.01)*IF(data[[#This Row],[asset_class]]="Vol",1,1)</f>
        <v>1E-4</v>
      </c>
      <c r="G76" s="4" t="s">
        <v>706</v>
      </c>
      <c r="H76" s="4"/>
      <c r="I76" s="4" t="s">
        <v>64</v>
      </c>
      <c r="J76" s="4" t="s">
        <v>110</v>
      </c>
      <c r="K76" s="4">
        <v>0</v>
      </c>
      <c r="L76" s="4">
        <v>0</v>
      </c>
      <c r="M76" s="4">
        <v>0</v>
      </c>
      <c r="N76" s="4">
        <v>0</v>
      </c>
      <c r="O76" s="4" t="str">
        <f>data[[#This Row],[factor_name]]</f>
        <v>DBC</v>
      </c>
      <c r="P76" s="4" t="str" cm="1">
        <f t="array" ref="P76">_xlfn.IFS(data[[#This Row],[description_override]]&lt;&gt;"",data[[#This Row],[description_override]],data[[#This Row],[Description_GPT]]&lt;&gt;"",data[[#This Row],[Description_GPT]],data[[#This Row],[Underlying]]&lt;&gt;"",data[[#This Row],[Underlying]],TRUE,"-")</f>
        <v>Invesco DB Commodity Index Tracking Fund</v>
      </c>
      <c r="Q76" s="4" t="str">
        <f>_xlfn.XLOOKUP(data[[#This Row],[ticker]],yf_desc[ticker],yf_desc[shortName],"-")</f>
        <v>Invesco DB Commodity Index Trac</v>
      </c>
      <c r="R76" s="4" t="str">
        <f>_xlfn.XLOOKUP(data[[#This Row],[ticker]],yf_desc[ticker],yf_desc[longName],"-")</f>
        <v>Invesco DB Commodity Index Tracking Fund</v>
      </c>
      <c r="S76"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6" s="4"/>
    </row>
    <row r="77" spans="1:20" x14ac:dyDescent="0.25">
      <c r="A77" s="4" t="s">
        <v>56</v>
      </c>
      <c r="B77" s="4" t="s">
        <v>40</v>
      </c>
      <c r="C77" s="4" t="s">
        <v>700</v>
      </c>
      <c r="D77" s="4" t="s">
        <v>455</v>
      </c>
      <c r="E77" s="4" t="s">
        <v>454</v>
      </c>
      <c r="F77" s="4" cm="1">
        <f t="array" ref="F77">_xlfn.SWITCH(data[[#This Row],[diffusion_type]],"lognormal",0.0001,"normal",-0.01)*IF(data[[#This Row],[asset_class]]="Vol",1,1)</f>
        <v>1E-4</v>
      </c>
      <c r="G77" s="4" t="s">
        <v>707</v>
      </c>
      <c r="H77" s="4"/>
      <c r="I77" s="4"/>
      <c r="J77" s="4"/>
      <c r="K77" s="4"/>
      <c r="L77" s="4"/>
      <c r="M77" s="4"/>
      <c r="N77" s="4"/>
      <c r="O77" s="4" t="str">
        <f>data[[#This Row],[factor_name]]</f>
        <v>DBE</v>
      </c>
      <c r="P77" s="4" t="str" cm="1">
        <f t="array" ref="P77">_xlfn.IFS(data[[#This Row],[description_override]]&lt;&gt;"",data[[#This Row],[description_override]],data[[#This Row],[Description_GPT]]&lt;&gt;"",data[[#This Row],[Description_GPT]],data[[#This Row],[Underlying]]&lt;&gt;"",data[[#This Row],[Underlying]],TRUE,"-")</f>
        <v>-</v>
      </c>
      <c r="Q77" s="4" t="str">
        <f>_xlfn.XLOOKUP(data[[#This Row],[ticker]],yf_desc[ticker],yf_desc[shortName],"-")</f>
        <v>-</v>
      </c>
      <c r="R77" s="4" t="str">
        <f>_xlfn.XLOOKUP(data[[#This Row],[ticker]],yf_desc[ticker],yf_desc[longName],"-")</f>
        <v>-</v>
      </c>
      <c r="S77" s="4" t="str">
        <f>_xlfn.XLOOKUP(data[[#This Row],[ticker]],yf_desc[ticker],yf_desc[longBusinessSummary],"-")</f>
        <v>-</v>
      </c>
      <c r="T77" s="4"/>
    </row>
    <row r="78" spans="1:20" x14ac:dyDescent="0.25">
      <c r="A78" s="4" t="s">
        <v>56</v>
      </c>
      <c r="B78" s="4" t="s">
        <v>40</v>
      </c>
      <c r="C78" s="4" t="s">
        <v>701</v>
      </c>
      <c r="D78" s="4" t="s">
        <v>455</v>
      </c>
      <c r="E78" s="4" t="s">
        <v>454</v>
      </c>
      <c r="F78" s="4" cm="1">
        <f t="array" ref="F78">_xlfn.SWITCH(data[[#This Row],[diffusion_type]],"lognormal",0.0001,"normal",-0.01)*IF(data[[#This Row],[asset_class]]="Vol",1,1)</f>
        <v>1E-4</v>
      </c>
      <c r="G78" s="4" t="s">
        <v>704</v>
      </c>
      <c r="H78" s="4"/>
      <c r="I78" s="4"/>
      <c r="J78" s="4"/>
      <c r="K78" s="4"/>
      <c r="L78" s="4"/>
      <c r="M78" s="4"/>
      <c r="N78" s="4"/>
      <c r="O78" s="4" t="str">
        <f>data[[#This Row],[factor_name]]</f>
        <v>DBO</v>
      </c>
      <c r="P78" s="4" t="str" cm="1">
        <f t="array" ref="P78">_xlfn.IFS(data[[#This Row],[description_override]]&lt;&gt;"",data[[#This Row],[description_override]],data[[#This Row],[Description_GPT]]&lt;&gt;"",data[[#This Row],[Description_GPT]],data[[#This Row],[Underlying]]&lt;&gt;"",data[[#This Row],[Underlying]],TRUE,"-")</f>
        <v>-</v>
      </c>
      <c r="Q78" s="4" t="str">
        <f>_xlfn.XLOOKUP(data[[#This Row],[ticker]],yf_desc[ticker],yf_desc[shortName],"-")</f>
        <v>-</v>
      </c>
      <c r="R78" s="4" t="str">
        <f>_xlfn.XLOOKUP(data[[#This Row],[ticker]],yf_desc[ticker],yf_desc[longName],"-")</f>
        <v>-</v>
      </c>
      <c r="S78" s="4" t="str">
        <f>_xlfn.XLOOKUP(data[[#This Row],[ticker]],yf_desc[ticker],yf_desc[longBusinessSummary],"-")</f>
        <v>-</v>
      </c>
      <c r="T78" s="4"/>
    </row>
    <row r="79" spans="1:20" x14ac:dyDescent="0.25">
      <c r="A79" s="4" t="s">
        <v>56</v>
      </c>
      <c r="B79" s="4" t="s">
        <v>40</v>
      </c>
      <c r="C79" s="4" t="s">
        <v>702</v>
      </c>
      <c r="D79" s="4" t="s">
        <v>455</v>
      </c>
      <c r="E79" s="4" t="s">
        <v>454</v>
      </c>
      <c r="F79" s="4" cm="1">
        <f t="array" ref="F79">_xlfn.SWITCH(data[[#This Row],[diffusion_type]],"lognormal",0.0001,"normal",-0.01)*IF(data[[#This Row],[asset_class]]="Vol",1,1)</f>
        <v>1E-4</v>
      </c>
      <c r="G79" s="4" t="s">
        <v>708</v>
      </c>
      <c r="H79" s="4"/>
      <c r="I79" s="4"/>
      <c r="J79" s="4"/>
      <c r="K79" s="4"/>
      <c r="L79" s="4"/>
      <c r="M79" s="4"/>
      <c r="N79" s="4"/>
      <c r="O79" s="4" t="str">
        <f>data[[#This Row],[factor_name]]</f>
        <v>DBP</v>
      </c>
      <c r="P79" s="4" t="str" cm="1">
        <f t="array" ref="P79">_xlfn.IFS(data[[#This Row],[description_override]]&lt;&gt;"",data[[#This Row],[description_override]],data[[#This Row],[Description_GPT]]&lt;&gt;"",data[[#This Row],[Description_GPT]],data[[#This Row],[Underlying]]&lt;&gt;"",data[[#This Row],[Underlying]],TRUE,"-")</f>
        <v>-</v>
      </c>
      <c r="Q79" s="4" t="str">
        <f>_xlfn.XLOOKUP(data[[#This Row],[ticker]],yf_desc[ticker],yf_desc[shortName],"-")</f>
        <v>-</v>
      </c>
      <c r="R79" s="4" t="str">
        <f>_xlfn.XLOOKUP(data[[#This Row],[ticker]],yf_desc[ticker],yf_desc[longName],"-")</f>
        <v>-</v>
      </c>
      <c r="S79" s="4" t="str">
        <f>_xlfn.XLOOKUP(data[[#This Row],[ticker]],yf_desc[ticker],yf_desc[longBusinessSummary],"-")</f>
        <v>-</v>
      </c>
      <c r="T79" s="4"/>
    </row>
    <row r="80" spans="1:20" x14ac:dyDescent="0.25">
      <c r="A80" s="4" t="s">
        <v>65</v>
      </c>
      <c r="B80" s="4" t="s">
        <v>40</v>
      </c>
      <c r="C80" s="4" t="s">
        <v>66</v>
      </c>
      <c r="D80" s="4" t="s">
        <v>455</v>
      </c>
      <c r="E80" s="4" t="s">
        <v>454</v>
      </c>
      <c r="F80" s="4" cm="1">
        <f t="array" ref="F80">_xlfn.SWITCH(data[[#This Row],[diffusion_type]],"lognormal",0.0001,"normal",-0.01)*IF(data[[#This Row],[asset_class]]="Vol",1,1)</f>
        <v>1E-4</v>
      </c>
      <c r="G80" s="4"/>
      <c r="H80" s="4"/>
      <c r="I80" s="4" t="s">
        <v>67</v>
      </c>
      <c r="J80" s="4" t="s">
        <v>111</v>
      </c>
      <c r="K80" s="4">
        <v>1</v>
      </c>
      <c r="L80" s="4">
        <v>0</v>
      </c>
      <c r="M80" s="4">
        <v>0</v>
      </c>
      <c r="N80" s="4">
        <v>0</v>
      </c>
      <c r="O80" s="4" t="str">
        <f>data[[#This Row],[factor_name]]</f>
        <v>UUP</v>
      </c>
      <c r="P80" s="4" t="str" cm="1">
        <f t="array" ref="P80">_xlfn.IFS(data[[#This Row],[description_override]]&lt;&gt;"",data[[#This Row],[description_override]],data[[#This Row],[Description_GPT]]&lt;&gt;"",data[[#This Row],[Description_GPT]],data[[#This Row],[Underlying]]&lt;&gt;"",data[[#This Row],[Underlying]],TRUE,"-")</f>
        <v>Invesco DB US Dollar Index Bullish Fund</v>
      </c>
      <c r="Q80" s="4" t="str">
        <f>_xlfn.XLOOKUP(data[[#This Row],[ticker]],yf_desc[ticker],yf_desc[shortName],"-")</f>
        <v>Invesco DB USD Index Bullish Fu</v>
      </c>
      <c r="R80" s="4" t="str">
        <f>_xlfn.XLOOKUP(data[[#This Row],[ticker]],yf_desc[ticker],yf_desc[longName],"-")</f>
        <v>Invesco DB US Dollar Index Bullish Fund</v>
      </c>
      <c r="S80"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80" s="4"/>
    </row>
    <row r="81" spans="1:24" x14ac:dyDescent="0.25">
      <c r="A81" s="4" t="s">
        <v>65</v>
      </c>
      <c r="B81" s="4" t="s">
        <v>40</v>
      </c>
      <c r="C81" s="4" t="s">
        <v>491</v>
      </c>
      <c r="D81" s="4" t="s">
        <v>455</v>
      </c>
      <c r="E81" s="4" t="s">
        <v>454</v>
      </c>
      <c r="F81" s="4" cm="1">
        <f t="array" ref="F81">_xlfn.SWITCH(data[[#This Row],[diffusion_type]],"lognormal",0.0001,"normal",-0.01)*IF(data[[#This Row],[asset_class]]="Vol",1,1)</f>
        <v>1E-4</v>
      </c>
      <c r="G81" s="4" t="s">
        <v>492</v>
      </c>
      <c r="H81" s="4"/>
      <c r="I81" s="4"/>
      <c r="J81" s="4" t="s">
        <v>111</v>
      </c>
      <c r="K81" s="4">
        <v>1</v>
      </c>
      <c r="L81" s="4">
        <v>0</v>
      </c>
      <c r="M81" s="4">
        <v>0</v>
      </c>
      <c r="N81" s="4">
        <v>0</v>
      </c>
      <c r="O81" s="4" t="str">
        <f>data[[#This Row],[factor_name]]</f>
        <v>DX-Y.NYB</v>
      </c>
      <c r="P81" s="4" t="str" cm="1">
        <f t="array" ref="P81">_xlfn.IFS(data[[#This Row],[description_override]]&lt;&gt;"",data[[#This Row],[description_override]],data[[#This Row],[Description_GPT]]&lt;&gt;"",data[[#This Row],[Description_GPT]],data[[#This Row],[Underlying]]&lt;&gt;"",data[[#This Row],[Underlying]],TRUE,"-")</f>
        <v>U.S. Dollar Index</v>
      </c>
      <c r="Q81" s="4" t="str">
        <f>_xlfn.XLOOKUP(data[[#This Row],[ticker]],yf_desc[ticker],yf_desc[shortName],"-")</f>
        <v>ICE US Dollar Index - Index - C</v>
      </c>
      <c r="R81" s="4" t="str">
        <f>_xlfn.XLOOKUP(data[[#This Row],[ticker]],yf_desc[ticker],yf_desc[longName],"-")</f>
        <v>US Dollar Index</v>
      </c>
      <c r="S81" s="4">
        <f>_xlfn.XLOOKUP(data[[#This Row],[ticker]],yf_desc[ticker],yf_desc[longBusinessSummary],"-")</f>
        <v>0</v>
      </c>
      <c r="T81" s="4"/>
    </row>
    <row r="82" spans="1:24" x14ac:dyDescent="0.25">
      <c r="A82" s="4" t="s">
        <v>65</v>
      </c>
      <c r="B82" s="4" t="s">
        <v>68</v>
      </c>
      <c r="C82" s="4" t="s">
        <v>69</v>
      </c>
      <c r="D82" s="4" t="s">
        <v>455</v>
      </c>
      <c r="E82" s="4" t="s">
        <v>454</v>
      </c>
      <c r="F82" s="4" cm="1">
        <f t="array" ref="F82">_xlfn.SWITCH(data[[#This Row],[diffusion_type]],"lognormal",0.0001,"normal",-0.01)*IF(data[[#This Row],[asset_class]]="Vol",1,1)</f>
        <v>1E-4</v>
      </c>
      <c r="G82" s="4" t="s">
        <v>297</v>
      </c>
      <c r="H82" s="4"/>
      <c r="I82" s="4" t="s">
        <v>70</v>
      </c>
      <c r="J82" s="4" t="s">
        <v>112</v>
      </c>
      <c r="K82" s="4">
        <v>1</v>
      </c>
      <c r="L82" s="4">
        <v>0</v>
      </c>
      <c r="M82" s="4">
        <v>0</v>
      </c>
      <c r="N82" s="4">
        <v>0</v>
      </c>
      <c r="O82" s="4" t="str">
        <f>data[[#This Row],[factor_name]]</f>
        <v>FXE</v>
      </c>
      <c r="P82" s="4" t="str" cm="1">
        <f t="array" ref="P82">_xlfn.IFS(data[[#This Row],[description_override]]&lt;&gt;"",data[[#This Row],[description_override]],data[[#This Row],[Description_GPT]]&lt;&gt;"",data[[#This Row],[Description_GPT]],data[[#This Row],[Underlying]]&lt;&gt;"",data[[#This Row],[Underlying]],TRUE,"-")</f>
        <v>Invesco CurrencyShares Euro Trust</v>
      </c>
      <c r="Q82" s="4" t="str">
        <f>_xlfn.XLOOKUP(data[[#This Row],[ticker]],yf_desc[ticker],yf_desc[shortName],"-")</f>
        <v>Invesco CurrencyShares Euro Cur</v>
      </c>
      <c r="R82" s="4" t="str">
        <f>_xlfn.XLOOKUP(data[[#This Row],[ticker]],yf_desc[ticker],yf_desc[longName],"-")</f>
        <v>Invesco CurrencyShares Euro Currency Trust</v>
      </c>
      <c r="S82" s="4">
        <f>_xlfn.XLOOKUP(data[[#This Row],[ticker]],yf_desc[ticker],yf_desc[longBusinessSummary],"-")</f>
        <v>0</v>
      </c>
      <c r="T82" s="4"/>
    </row>
    <row r="83" spans="1:24" x14ac:dyDescent="0.25">
      <c r="A83" t="s">
        <v>65</v>
      </c>
      <c r="B83" t="s">
        <v>68</v>
      </c>
      <c r="C83" t="s">
        <v>497</v>
      </c>
      <c r="D83" s="4" t="s">
        <v>455</v>
      </c>
      <c r="E83" s="4" t="s">
        <v>454</v>
      </c>
      <c r="F83" s="4" cm="1">
        <f t="array" ref="F83">_xlfn.SWITCH(data[[#This Row],[diffusion_type]],"lognormal",0.0001,"normal",-0.01)*IF(data[[#This Row],[asset_class]]="Vol",1,1)</f>
        <v>1E-4</v>
      </c>
      <c r="G83" t="s">
        <v>524</v>
      </c>
      <c r="I83" t="s">
        <v>498</v>
      </c>
      <c r="J83" t="s">
        <v>499</v>
      </c>
      <c r="K83" s="4">
        <v>1</v>
      </c>
      <c r="L83" s="4">
        <v>0</v>
      </c>
      <c r="M83" s="4">
        <v>0</v>
      </c>
      <c r="N83" s="4">
        <v>0</v>
      </c>
      <c r="O83" s="4" t="str">
        <f>data[[#This Row],[factor_name]]</f>
        <v>FXF</v>
      </c>
      <c r="P83" s="4" t="str" cm="1">
        <f t="array" ref="P83">_xlfn.IFS(data[[#This Row],[description_override]]&lt;&gt;"",data[[#This Row],[description_override]],data[[#This Row],[Description_GPT]]&lt;&gt;"",data[[#This Row],[Description_GPT]],data[[#This Row],[Underlying]]&lt;&gt;"",data[[#This Row],[Underlying]],TRUE,"-")</f>
        <v>Invesco CurrencyShares Swiss Franc Trust</v>
      </c>
      <c r="Q83" s="4" t="str">
        <f>_xlfn.XLOOKUP(data[[#This Row],[ticker]],yf_desc[ticker],yf_desc[shortName],"-")</f>
        <v>Invesco CurrencyShares Swiss Fr</v>
      </c>
      <c r="R83" s="4" t="str">
        <f>_xlfn.XLOOKUP(data[[#This Row],[ticker]],yf_desc[ticker],yf_desc[longName],"-")</f>
        <v>Invesco CurrencyShares Swiss Franc Trust</v>
      </c>
      <c r="S83"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83" s="4"/>
    </row>
    <row r="84" spans="1:24" x14ac:dyDescent="0.25">
      <c r="A84" t="s">
        <v>65</v>
      </c>
      <c r="B84" t="s">
        <v>690</v>
      </c>
      <c r="C84" t="s">
        <v>691</v>
      </c>
      <c r="D84" s="4" t="s">
        <v>455</v>
      </c>
      <c r="E84" s="4" t="s">
        <v>454</v>
      </c>
      <c r="F84" s="4" cm="1">
        <f t="array" ref="F84">_xlfn.SWITCH(data[[#This Row],[diffusion_type]],"lognormal",0.0001,"normal",-0.01)*IF(data[[#This Row],[asset_class]]="Vol",1,1)</f>
        <v>1E-4</v>
      </c>
      <c r="G84" t="s">
        <v>300</v>
      </c>
      <c r="I84" t="s">
        <v>694</v>
      </c>
      <c r="K84" s="4">
        <v>1</v>
      </c>
      <c r="L84" s="4">
        <v>0</v>
      </c>
      <c r="M84" s="4">
        <v>0</v>
      </c>
      <c r="N84" s="4">
        <v>0</v>
      </c>
      <c r="O84" s="4" t="str">
        <f>data[[#This Row],[factor_name]]</f>
        <v>FXA</v>
      </c>
      <c r="P84" s="4" t="str" cm="1">
        <f t="array" ref="P84">_xlfn.IFS(data[[#This Row],[description_override]]&lt;&gt;"",data[[#This Row],[description_override]],data[[#This Row],[Description_GPT]]&lt;&gt;"",data[[#This Row],[Description_GPT]],data[[#This Row],[Underlying]]&lt;&gt;"",data[[#This Row],[Underlying]],TRUE,"-")</f>
        <v>Invesco CurrencyShares Australian Dollar Trust</v>
      </c>
      <c r="Q84" s="4" t="str">
        <f>_xlfn.XLOOKUP(data[[#This Row],[ticker]],yf_desc[ticker],yf_desc[shortName],"-")</f>
        <v>-</v>
      </c>
      <c r="R84" s="4" t="str">
        <f>_xlfn.XLOOKUP(data[[#This Row],[ticker]],yf_desc[ticker],yf_desc[longName],"-")</f>
        <v>-</v>
      </c>
      <c r="S84" s="4" t="str">
        <f>_xlfn.XLOOKUP(data[[#This Row],[ticker]],yf_desc[ticker],yf_desc[longBusinessSummary],"-")</f>
        <v>-</v>
      </c>
      <c r="T84" s="4"/>
    </row>
    <row r="85" spans="1:24" x14ac:dyDescent="0.25">
      <c r="A85" t="s">
        <v>65</v>
      </c>
      <c r="B85" t="s">
        <v>220</v>
      </c>
      <c r="C85" t="s">
        <v>689</v>
      </c>
      <c r="D85" s="4" t="s">
        <v>455</v>
      </c>
      <c r="E85" s="4" t="s">
        <v>454</v>
      </c>
      <c r="F85" s="4" cm="1">
        <f t="array" ref="F85">_xlfn.SWITCH(data[[#This Row],[diffusion_type]],"lognormal",0.0001,"normal",-0.01)*IF(data[[#This Row],[asset_class]]="Vol",1,1)</f>
        <v>1E-4</v>
      </c>
      <c r="G85" t="s">
        <v>299</v>
      </c>
      <c r="I85" t="s">
        <v>695</v>
      </c>
      <c r="K85" s="4">
        <v>1</v>
      </c>
      <c r="L85" s="4">
        <v>0</v>
      </c>
      <c r="M85" s="4">
        <v>0</v>
      </c>
      <c r="N85" s="4">
        <v>0</v>
      </c>
      <c r="O85" s="4" t="str">
        <f>data[[#This Row],[factor_name]]</f>
        <v>FXB</v>
      </c>
      <c r="P85" s="4" t="str" cm="1">
        <f t="array" ref="P85">_xlfn.IFS(data[[#This Row],[description_override]]&lt;&gt;"",data[[#This Row],[description_override]],data[[#This Row],[Description_GPT]]&lt;&gt;"",data[[#This Row],[Description_GPT]],data[[#This Row],[Underlying]]&lt;&gt;"",data[[#This Row],[Underlying]],TRUE,"-")</f>
        <v>Invesco CurrencyShares British Pound Sterling Trust</v>
      </c>
      <c r="Q85" s="4" t="str">
        <f>_xlfn.XLOOKUP(data[[#This Row],[ticker]],yf_desc[ticker],yf_desc[shortName],"-")</f>
        <v>-</v>
      </c>
      <c r="R85" s="4" t="str">
        <f>_xlfn.XLOOKUP(data[[#This Row],[ticker]],yf_desc[ticker],yf_desc[longName],"-")</f>
        <v>-</v>
      </c>
      <c r="S85" s="4" t="str">
        <f>_xlfn.XLOOKUP(data[[#This Row],[ticker]],yf_desc[ticker],yf_desc[longBusinessSummary],"-")</f>
        <v>-</v>
      </c>
      <c r="T85" s="4"/>
    </row>
    <row r="86" spans="1:24" x14ac:dyDescent="0.25">
      <c r="A86" t="s">
        <v>65</v>
      </c>
      <c r="B86" t="s">
        <v>40</v>
      </c>
      <c r="C86" t="s">
        <v>692</v>
      </c>
      <c r="D86" s="4" t="s">
        <v>455</v>
      </c>
      <c r="E86" s="4" t="s">
        <v>454</v>
      </c>
      <c r="F86" s="4" cm="1">
        <f t="array" ref="F86">_xlfn.SWITCH(data[[#This Row],[diffusion_type]],"lognormal",0.0001,"normal",-0.01)*IF(data[[#This Row],[asset_class]]="Vol",1,1)</f>
        <v>1E-4</v>
      </c>
      <c r="G86" t="s">
        <v>693</v>
      </c>
      <c r="I86" t="s">
        <v>696</v>
      </c>
      <c r="K86" s="4">
        <v>1</v>
      </c>
      <c r="L86" s="4">
        <v>0</v>
      </c>
      <c r="M86" s="4">
        <v>0</v>
      </c>
      <c r="N86" s="4">
        <v>0</v>
      </c>
      <c r="O86" s="4" t="str">
        <f>data[[#This Row],[factor_name]]</f>
        <v>FXC</v>
      </c>
      <c r="P86" s="4" t="str" cm="1">
        <f t="array" ref="P86">_xlfn.IFS(data[[#This Row],[description_override]]&lt;&gt;"",data[[#This Row],[description_override]],data[[#This Row],[Description_GPT]]&lt;&gt;"",data[[#This Row],[Description_GPT]],data[[#This Row],[Underlying]]&lt;&gt;"",data[[#This Row],[Underlying]],TRUE,"-")</f>
        <v>Invesco CurrencyShares Canadian Dollar Trust</v>
      </c>
      <c r="Q86" s="4" t="str">
        <f>_xlfn.XLOOKUP(data[[#This Row],[ticker]],yf_desc[ticker],yf_desc[shortName],"-")</f>
        <v>-</v>
      </c>
      <c r="R86" s="4" t="str">
        <f>_xlfn.XLOOKUP(data[[#This Row],[ticker]],yf_desc[ticker],yf_desc[longName],"-")</f>
        <v>-</v>
      </c>
      <c r="S86" s="4" t="str">
        <f>_xlfn.XLOOKUP(data[[#This Row],[ticker]],yf_desc[ticker],yf_desc[longBusinessSummary],"-")</f>
        <v>-</v>
      </c>
      <c r="T86" s="4"/>
    </row>
    <row r="87" spans="1:24" x14ac:dyDescent="0.25">
      <c r="A87" t="s">
        <v>65</v>
      </c>
      <c r="B87" t="s">
        <v>71</v>
      </c>
      <c r="C87" t="s">
        <v>72</v>
      </c>
      <c r="D87" s="4" t="s">
        <v>455</v>
      </c>
      <c r="E87" s="4" t="s">
        <v>454</v>
      </c>
      <c r="F87" s="4" cm="1">
        <f t="array" ref="F87">_xlfn.SWITCH(data[[#This Row],[diffusion_type]],"lognormal",0.0001,"normal",-0.01)*IF(data[[#This Row],[asset_class]]="Vol",1,1)</f>
        <v>1E-4</v>
      </c>
      <c r="G87" t="s">
        <v>523</v>
      </c>
      <c r="I87" t="s">
        <v>73</v>
      </c>
      <c r="J87" t="s">
        <v>113</v>
      </c>
      <c r="K87" s="4">
        <v>1</v>
      </c>
      <c r="L87" s="4">
        <v>0</v>
      </c>
      <c r="M87" s="4">
        <v>0</v>
      </c>
      <c r="N87" s="4">
        <v>0</v>
      </c>
      <c r="O87" s="4" t="str">
        <f>data[[#This Row],[factor_name]]</f>
        <v>FXY</v>
      </c>
      <c r="P87" s="4" t="str" cm="1">
        <f t="array" ref="P87">_xlfn.IFS(data[[#This Row],[description_override]]&lt;&gt;"",data[[#This Row],[description_override]],data[[#This Row],[Description_GPT]]&lt;&gt;"",data[[#This Row],[Description_GPT]],data[[#This Row],[Underlying]]&lt;&gt;"",data[[#This Row],[Underlying]],TRUE,"-")</f>
        <v>Invesco CurrencyShares Japanese Yen Trust</v>
      </c>
      <c r="Q87" s="4" t="str">
        <f>_xlfn.XLOOKUP(data[[#This Row],[ticker]],yf_desc[ticker],yf_desc[shortName],"-")</f>
        <v>Invesco CurrencyShares Japanese</v>
      </c>
      <c r="R87" s="4" t="str">
        <f>_xlfn.XLOOKUP(data[[#This Row],[ticker]],yf_desc[ticker],yf_desc[longName],"-")</f>
        <v>Invesco CurrencyShares Japanese Yen Trust</v>
      </c>
      <c r="S87"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7" s="4"/>
    </row>
    <row r="88" spans="1:24" x14ac:dyDescent="0.25">
      <c r="A88" s="4" t="s">
        <v>475</v>
      </c>
      <c r="B88" s="4" t="s">
        <v>40</v>
      </c>
      <c r="C88" s="4" t="s">
        <v>471</v>
      </c>
      <c r="D88" s="4" t="s">
        <v>455</v>
      </c>
      <c r="E88" s="4" t="s">
        <v>467</v>
      </c>
      <c r="F88" s="4" cm="1">
        <f t="array" ref="F88">_xlfn.SWITCH(data[[#This Row],[diffusion_type]],"lognormal",0.0001,"normal",-0.01)*IF(data[[#This Row],[asset_class]]="Vol",1,1)</f>
        <v>-0.01</v>
      </c>
      <c r="G88" s="4"/>
      <c r="H88" s="4"/>
      <c r="I88" s="4" t="s">
        <v>472</v>
      </c>
      <c r="J88" s="4"/>
      <c r="K88" s="4">
        <v>1</v>
      </c>
      <c r="L88" s="4">
        <v>0</v>
      </c>
      <c r="M88" s="4">
        <v>0</v>
      </c>
      <c r="N88" s="4">
        <v>0</v>
      </c>
      <c r="O88" s="4" t="str">
        <f>data[[#This Row],[factor_name]]</f>
        <v>^VIX</v>
      </c>
      <c r="P88" s="4" t="str" cm="1">
        <f t="array" ref="P88">_xlfn.IFS(data[[#This Row],[description_override]]&lt;&gt;"",data[[#This Row],[description_override]],data[[#This Row],[Description_GPT]]&lt;&gt;"",data[[#This Row],[Description_GPT]],data[[#This Row],[Underlying]]&lt;&gt;"",data[[#This Row],[Underlying]],TRUE,"-")</f>
        <v>CBOE Volatility Index</v>
      </c>
      <c r="Q88" s="4" t="str">
        <f>_xlfn.XLOOKUP(data[[#This Row],[ticker]],yf_desc[ticker],yf_desc[shortName],"-")</f>
        <v>CBOE Volatility Index</v>
      </c>
      <c r="R88" s="4" t="str">
        <f>_xlfn.XLOOKUP(data[[#This Row],[ticker]],yf_desc[ticker],yf_desc[longName],"-")</f>
        <v>CBOE Volatility Index</v>
      </c>
      <c r="S88" s="4">
        <f>_xlfn.XLOOKUP(data[[#This Row],[ticker]],yf_desc[ticker],yf_desc[longBusinessSummary],"-")</f>
        <v>0</v>
      </c>
      <c r="T88" s="4"/>
      <c r="U88" s="2"/>
    </row>
    <row r="89" spans="1:24" x14ac:dyDescent="0.25">
      <c r="A89" s="4" t="s">
        <v>475</v>
      </c>
      <c r="B89" s="4" t="s">
        <v>40</v>
      </c>
      <c r="C89" s="4" t="s">
        <v>493</v>
      </c>
      <c r="D89" s="4" t="s">
        <v>455</v>
      </c>
      <c r="E89" s="4" t="s">
        <v>467</v>
      </c>
      <c r="F89" s="4" cm="1">
        <f t="array" ref="F89">_xlfn.SWITCH(data[[#This Row],[diffusion_type]],"lognormal",0.0001,"normal",-0.01)*IF(data[[#This Row],[asset_class]]="Vol",1,1)</f>
        <v>-0.01</v>
      </c>
      <c r="G89" s="4"/>
      <c r="H89" s="4"/>
      <c r="I89" s="4" t="s">
        <v>494</v>
      </c>
      <c r="J89" s="4"/>
      <c r="K89" s="4">
        <v>1</v>
      </c>
      <c r="L89" s="4">
        <v>0</v>
      </c>
      <c r="M89" s="4">
        <v>0</v>
      </c>
      <c r="N89" s="4">
        <v>0</v>
      </c>
      <c r="O89" s="4" t="str">
        <f>data[[#This Row],[factor_name]]</f>
        <v>VXX</v>
      </c>
      <c r="P89" s="4" t="str" cm="1">
        <f t="array" ref="P89">_xlfn.IFS(data[[#This Row],[description_override]]&lt;&gt;"",data[[#This Row],[description_override]],data[[#This Row],[Description_GPT]]&lt;&gt;"",data[[#This Row],[Description_GPT]],data[[#This Row],[Underlying]]&lt;&gt;"",data[[#This Row],[Underlying]],TRUE,"-")</f>
        <v>VIX Short-Term Futures ETN</v>
      </c>
      <c r="Q89" s="4" t="str">
        <f>_xlfn.XLOOKUP(data[[#This Row],[ticker]],yf_desc[ticker],yf_desc[shortName],"-")</f>
        <v>iPath Series B S&amp;P 500 VIX Shor</v>
      </c>
      <c r="R89" s="4" t="str">
        <f>_xlfn.XLOOKUP(data[[#This Row],[ticker]],yf_desc[ticker],yf_desc[longName],"-")</f>
        <v>iPath Series B S&amp;P 500 VIX Short-Term Futures ETN</v>
      </c>
      <c r="S89"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9" s="4"/>
      <c r="U89" s="2"/>
    </row>
    <row r="90" spans="1:24" x14ac:dyDescent="0.25">
      <c r="A90" s="4" t="s">
        <v>475</v>
      </c>
      <c r="B90" s="4" t="s">
        <v>40</v>
      </c>
      <c r="C90" s="4" t="s">
        <v>495</v>
      </c>
      <c r="D90" s="4" t="s">
        <v>455</v>
      </c>
      <c r="E90" s="4" t="s">
        <v>467</v>
      </c>
      <c r="F90" s="4" cm="1">
        <f t="array" ref="F90">_xlfn.SWITCH(data[[#This Row],[diffusion_type]],"lognormal",0.0001,"normal",-0.01)*IF(data[[#This Row],[asset_class]]="Vol",1,1)</f>
        <v>-0.01</v>
      </c>
      <c r="G90" s="4"/>
      <c r="H90" s="4"/>
      <c r="I90" s="4" t="s">
        <v>496</v>
      </c>
      <c r="J90" s="4"/>
      <c r="K90" s="4">
        <v>1</v>
      </c>
      <c r="L90" s="4">
        <v>0</v>
      </c>
      <c r="M90" s="4">
        <v>0</v>
      </c>
      <c r="N90" s="4">
        <v>0</v>
      </c>
      <c r="O90" s="4" t="str">
        <f>data[[#This Row],[factor_name]]</f>
        <v>^VIX3M</v>
      </c>
      <c r="P90" s="4" t="str" cm="1">
        <f t="array" ref="P90">_xlfn.IFS(data[[#This Row],[description_override]]&lt;&gt;"",data[[#This Row],[description_override]],data[[#This Row],[Description_GPT]]&lt;&gt;"",data[[#This Row],[Description_GPT]],data[[#This Row],[Underlying]]&lt;&gt;"",data[[#This Row],[Underlying]],TRUE,"-")</f>
        <v>CBOE S&amp;P 500 3-Month Volatility</v>
      </c>
      <c r="Q90" s="4" t="str">
        <f>_xlfn.XLOOKUP(data[[#This Row],[ticker]],yf_desc[ticker],yf_desc[shortName],"-")</f>
        <v>CBOE S&amp;P 500 3-Month Volatility</v>
      </c>
      <c r="R90" s="4" t="str">
        <f>_xlfn.XLOOKUP(data[[#This Row],[ticker]],yf_desc[ticker],yf_desc[longName],"-")</f>
        <v>CBOE S&amp;P 500 3-Month Volatility</v>
      </c>
      <c r="S90" s="4">
        <f>_xlfn.XLOOKUP(data[[#This Row],[ticker]],yf_desc[ticker],yf_desc[longBusinessSummary],"-")</f>
        <v>0</v>
      </c>
      <c r="T90" s="4"/>
      <c r="X90" s="4" t="e" cm="1" vm="2">
        <f t="array" ref="X90">_xlfn._xlws.FILTER(composities[weight],composities[portfolio_name]=data[[#This Row],[factor_name]])</f>
        <v>#VALUE!</v>
      </c>
    </row>
    <row r="91" spans="1:24" x14ac:dyDescent="0.25">
      <c r="A91" s="4" t="s">
        <v>475</v>
      </c>
      <c r="B91" s="4" t="s">
        <v>40</v>
      </c>
      <c r="C91" s="4" t="s">
        <v>483</v>
      </c>
      <c r="D91" s="4" t="s">
        <v>455</v>
      </c>
      <c r="E91" s="4" t="s">
        <v>467</v>
      </c>
      <c r="F91" s="4" cm="1">
        <f t="array" ref="F91">_xlfn.SWITCH(data[[#This Row],[diffusion_type]],"lognormal",0.0001,"normal",-0.01)*IF(data[[#This Row],[asset_class]]="Vol",1,1)</f>
        <v>-0.01</v>
      </c>
      <c r="G91" s="4"/>
      <c r="H91" s="4"/>
      <c r="I91" s="4" t="s">
        <v>473</v>
      </c>
      <c r="J91" s="4"/>
      <c r="K91" s="4">
        <v>0</v>
      </c>
      <c r="L91" s="4">
        <v>0</v>
      </c>
      <c r="M91" s="4">
        <v>0</v>
      </c>
      <c r="N91" s="4">
        <v>0</v>
      </c>
      <c r="O91" s="4" t="str">
        <f>data[[#This Row],[factor_name]]</f>
        <v>^VVIX</v>
      </c>
      <c r="P91" s="4" t="str" cm="1">
        <f t="array" ref="P91">_xlfn.IFS(data[[#This Row],[description_override]]&lt;&gt;"",data[[#This Row],[description_override]],data[[#This Row],[Description_GPT]]&lt;&gt;"",data[[#This Row],[Description_GPT]],data[[#This Row],[Underlying]]&lt;&gt;"",data[[#This Row],[Underlying]],TRUE,"-")</f>
        <v>CBOE VIX VOLATILITY INDEX</v>
      </c>
      <c r="Q91" s="4" t="str">
        <f>_xlfn.XLOOKUP(data[[#This Row],[ticker]],yf_desc[ticker],yf_desc[shortName],"-")</f>
        <v>CBOE VIX VOLATILITY INDEX</v>
      </c>
      <c r="R91" s="4" t="str">
        <f>_xlfn.XLOOKUP(data[[#This Row],[ticker]],yf_desc[ticker],yf_desc[longName],"-")</f>
        <v>^VVIX</v>
      </c>
      <c r="S91" s="4">
        <f>_xlfn.XLOOKUP(data[[#This Row],[ticker]],yf_desc[ticker],yf_desc[longBusinessSummary],"-")</f>
        <v>0</v>
      </c>
      <c r="T91" s="4"/>
    </row>
    <row r="92" spans="1:24" x14ac:dyDescent="0.25">
      <c r="A92" s="4" t="s">
        <v>475</v>
      </c>
      <c r="B92" s="4" t="s">
        <v>40</v>
      </c>
      <c r="C92" s="4" t="s">
        <v>474</v>
      </c>
      <c r="D92" s="4" t="s">
        <v>455</v>
      </c>
      <c r="E92" s="4" t="s">
        <v>467</v>
      </c>
      <c r="F92" s="4" cm="1">
        <f t="array" ref="F92">_xlfn.SWITCH(data[[#This Row],[diffusion_type]],"lognormal",0.0001,"normal",-0.01)*IF(data[[#This Row],[asset_class]]="Vol",1,1)</f>
        <v>-0.01</v>
      </c>
      <c r="G92" s="4"/>
      <c r="H92" s="4"/>
      <c r="I92" s="4" t="s">
        <v>476</v>
      </c>
      <c r="J92" s="4"/>
      <c r="K92" s="4">
        <v>1</v>
      </c>
      <c r="L92" s="4">
        <v>0</v>
      </c>
      <c r="M92" s="4">
        <v>0</v>
      </c>
      <c r="N92" s="4">
        <v>0</v>
      </c>
      <c r="O92" s="4" t="str">
        <f>data[[#This Row],[factor_name]]</f>
        <v>^MOVE</v>
      </c>
      <c r="P92" s="4" t="str" cm="1">
        <f t="array" ref="P92">_xlfn.IFS(data[[#This Row],[description_override]]&lt;&gt;"",data[[#This Row],[description_override]],data[[#This Row],[Description_GPT]]&lt;&gt;"",data[[#This Row],[Description_GPT]],data[[#This Row],[Underlying]]&lt;&gt;"",data[[#This Row],[Underlying]],TRUE,"-")</f>
        <v>ICE BofAML MOVE Index</v>
      </c>
      <c r="Q92" s="4" t="str">
        <f>_xlfn.XLOOKUP(data[[#This Row],[ticker]],yf_desc[ticker],yf_desc[shortName],"-")</f>
        <v>ICE BofAML MOVE Index</v>
      </c>
      <c r="R92" s="4" t="str">
        <f>_xlfn.XLOOKUP(data[[#This Row],[ticker]],yf_desc[ticker],yf_desc[longName],"-")</f>
        <v>ICE BofAML MOVE Index</v>
      </c>
      <c r="S92" s="4">
        <f>_xlfn.XLOOKUP(data[[#This Row],[ticker]],yf_desc[ticker],yf_desc[longBusinessSummary],"-")</f>
        <v>0</v>
      </c>
      <c r="T92" s="4"/>
    </row>
    <row r="93" spans="1:24" x14ac:dyDescent="0.25">
      <c r="A93" s="4" t="s">
        <v>475</v>
      </c>
      <c r="B93" s="4" t="s">
        <v>40</v>
      </c>
      <c r="C93" s="4" t="s">
        <v>477</v>
      </c>
      <c r="D93" s="4" t="s">
        <v>455</v>
      </c>
      <c r="E93" s="4" t="s">
        <v>467</v>
      </c>
      <c r="F93" s="4" cm="1">
        <f t="array" ref="F93">_xlfn.SWITCH(data[[#This Row],[diffusion_type]],"lognormal",0.0001,"normal",-0.01)*IF(data[[#This Row],[asset_class]]="Vol",1,1)</f>
        <v>-0.01</v>
      </c>
      <c r="G93" s="4"/>
      <c r="H93" s="4"/>
      <c r="I93" s="4" t="s">
        <v>478</v>
      </c>
      <c r="J93" s="4"/>
      <c r="K93" s="4">
        <v>1</v>
      </c>
      <c r="L93" s="4">
        <v>0</v>
      </c>
      <c r="M93" s="4">
        <v>0</v>
      </c>
      <c r="N93" s="4">
        <v>0</v>
      </c>
      <c r="O93" s="4" t="str">
        <f>data[[#This Row],[factor_name]]</f>
        <v>^OVX</v>
      </c>
      <c r="P93" s="4" t="str" cm="1">
        <f t="array" ref="P93">_xlfn.IFS(data[[#This Row],[description_override]]&lt;&gt;"",data[[#This Row],[description_override]],data[[#This Row],[Description_GPT]]&lt;&gt;"",data[[#This Row],[Description_GPT]],data[[#This Row],[Underlying]]&lt;&gt;"",data[[#This Row],[Underlying]],TRUE,"-")</f>
        <v>CBOE Crude Oil Volatility Index</v>
      </c>
      <c r="Q93" s="4" t="str">
        <f>_xlfn.XLOOKUP(data[[#This Row],[ticker]],yf_desc[ticker],yf_desc[shortName],"-")</f>
        <v>CBOE Crude Oil Volatility Index</v>
      </c>
      <c r="R93" s="4" t="str">
        <f>_xlfn.XLOOKUP(data[[#This Row],[ticker]],yf_desc[ticker],yf_desc[longName],"-")</f>
        <v>^OVX</v>
      </c>
      <c r="S93" s="4">
        <f>_xlfn.XLOOKUP(data[[#This Row],[ticker]],yf_desc[ticker],yf_desc[longBusinessSummary],"-")</f>
        <v>0</v>
      </c>
      <c r="T93" s="4"/>
    </row>
    <row r="94" spans="1:24" x14ac:dyDescent="0.25">
      <c r="A94" s="4" t="s">
        <v>475</v>
      </c>
      <c r="B94" s="4" t="s">
        <v>40</v>
      </c>
      <c r="C94" s="4" t="s">
        <v>479</v>
      </c>
      <c r="D94" s="4" t="s">
        <v>455</v>
      </c>
      <c r="E94" s="4" t="s">
        <v>467</v>
      </c>
      <c r="F94" s="4" cm="1">
        <f t="array" ref="F94">_xlfn.SWITCH(data[[#This Row],[diffusion_type]],"lognormal",0.0001,"normal",-0.01)*IF(data[[#This Row],[asset_class]]="Vol",1,1)</f>
        <v>-0.01</v>
      </c>
      <c r="G94" s="4"/>
      <c r="H94" s="4"/>
      <c r="I94" s="4" t="s">
        <v>480</v>
      </c>
      <c r="J94" s="4"/>
      <c r="K94" s="4">
        <v>0</v>
      </c>
      <c r="L94" s="4">
        <v>0</v>
      </c>
      <c r="M94" s="4">
        <v>0</v>
      </c>
      <c r="N94" s="4">
        <v>0</v>
      </c>
      <c r="O94" s="4" t="str">
        <f>data[[#This Row],[factor_name]]</f>
        <v>^EVZ</v>
      </c>
      <c r="P94" s="4" t="str" cm="1">
        <f t="array" ref="P94">_xlfn.IFS(data[[#This Row],[description_override]]&lt;&gt;"",data[[#This Row],[description_override]],data[[#This Row],[Description_GPT]]&lt;&gt;"",data[[#This Row],[Description_GPT]],data[[#This Row],[Underlying]]&lt;&gt;"",data[[#This Row],[Underlying]],TRUE,"-")</f>
        <v>CBOE Euro currency Volatility I</v>
      </c>
      <c r="Q94" s="4" t="str">
        <f>_xlfn.XLOOKUP(data[[#This Row],[ticker]],yf_desc[ticker],yf_desc[shortName],"-")</f>
        <v>^EVZ,92169,0</v>
      </c>
      <c r="R94" s="4" t="str">
        <f>_xlfn.XLOOKUP(data[[#This Row],[ticker]],yf_desc[ticker],yf_desc[longName],"-")</f>
        <v>^EVZ,92169,0</v>
      </c>
      <c r="S94" s="4">
        <f>_xlfn.XLOOKUP(data[[#This Row],[ticker]],yf_desc[ticker],yf_desc[longBusinessSummary],"-")</f>
        <v>0</v>
      </c>
      <c r="T94" s="4"/>
    </row>
    <row r="95" spans="1:24" x14ac:dyDescent="0.25">
      <c r="A95" s="4" t="s">
        <v>475</v>
      </c>
      <c r="B95" s="4" t="s">
        <v>40</v>
      </c>
      <c r="C95" s="4" t="s">
        <v>481</v>
      </c>
      <c r="D95" s="4" t="s">
        <v>455</v>
      </c>
      <c r="E95" s="4" t="s">
        <v>467</v>
      </c>
      <c r="F95" s="4" cm="1">
        <f t="array" ref="F95">_xlfn.SWITCH(data[[#This Row],[diffusion_type]],"lognormal",0.0001,"normal",-0.01)*IF(data[[#This Row],[asset_class]]="Vol",1,1)</f>
        <v>-0.01</v>
      </c>
      <c r="G95" s="4"/>
      <c r="H95" s="4"/>
      <c r="I95" s="4" t="s">
        <v>482</v>
      </c>
      <c r="J95" s="4"/>
      <c r="K95" s="4">
        <v>1</v>
      </c>
      <c r="L95" s="4">
        <v>0</v>
      </c>
      <c r="M95" s="4">
        <v>0</v>
      </c>
      <c r="N95" s="4">
        <v>0</v>
      </c>
      <c r="O95" s="4" t="str">
        <f>data[[#This Row],[factor_name]]</f>
        <v>^GVZ</v>
      </c>
      <c r="P95" s="4" t="str" cm="1">
        <f t="array" ref="P95">_xlfn.IFS(data[[#This Row],[description_override]]&lt;&gt;"",data[[#This Row],[description_override]],data[[#This Row],[Description_GPT]]&lt;&gt;"",data[[#This Row],[Description_GPT]],data[[#This Row],[Underlying]]&lt;&gt;"",data[[#This Row],[Underlying]],TRUE,"-")</f>
        <v>CBOE Gold Volatility Index</v>
      </c>
      <c r="Q95" s="4" t="str">
        <f>_xlfn.XLOOKUP(data[[#This Row],[ticker]],yf_desc[ticker],yf_desc[shortName],"-")</f>
        <v>CBOE Gold Volatility Index</v>
      </c>
      <c r="R95" s="4" t="str">
        <f>_xlfn.XLOOKUP(data[[#This Row],[ticker]],yf_desc[ticker],yf_desc[longName],"-")</f>
        <v>^GVZ</v>
      </c>
      <c r="S95" s="4">
        <f>_xlfn.XLOOKUP(data[[#This Row],[ticker]],yf_desc[ticker],yf_desc[longBusinessSummary],"-")</f>
        <v>0</v>
      </c>
      <c r="T95" s="4"/>
    </row>
    <row r="96" spans="1:24" x14ac:dyDescent="0.25">
      <c r="A96" s="4" t="s">
        <v>475</v>
      </c>
      <c r="B96" s="4" t="s">
        <v>40</v>
      </c>
      <c r="C96" s="4" t="s">
        <v>484</v>
      </c>
      <c r="D96" s="4" t="s">
        <v>455</v>
      </c>
      <c r="E96" s="4" t="s">
        <v>467</v>
      </c>
      <c r="F96" s="4" cm="1">
        <f t="array" ref="F96">_xlfn.SWITCH(data[[#This Row],[diffusion_type]],"lognormal",0.0001,"normal",-0.01)*IF(data[[#This Row],[asset_class]]="Vol",1,1)</f>
        <v>-0.01</v>
      </c>
      <c r="G96" s="4"/>
      <c r="H96" s="4"/>
      <c r="I96" s="4" t="s">
        <v>485</v>
      </c>
      <c r="J96" s="4"/>
      <c r="K96" s="4">
        <v>0</v>
      </c>
      <c r="L96" s="4">
        <v>0</v>
      </c>
      <c r="M96" s="4">
        <v>0</v>
      </c>
      <c r="N96" s="4">
        <v>0</v>
      </c>
      <c r="O96" s="4" t="str">
        <f>data[[#This Row],[factor_name]]</f>
        <v>^COR3M</v>
      </c>
      <c r="P96" s="4" t="str" cm="1">
        <f t="array" ref="P96">_xlfn.IFS(data[[#This Row],[description_override]]&lt;&gt;"",data[[#This Row],[description_override]],data[[#This Row],[Description_GPT]]&lt;&gt;"",data[[#This Row],[Description_GPT]],data[[#This Row],[Underlying]]&lt;&gt;"",data[[#This Row],[Underlying]],TRUE,"-")</f>
        <v>Cboe Implied Correlation Index</v>
      </c>
      <c r="Q96" s="4" t="str">
        <f>_xlfn.XLOOKUP(data[[#This Row],[ticker]],yf_desc[ticker],yf_desc[shortName],"-")</f>
        <v>Cboe Implied Correlation Index</v>
      </c>
      <c r="R96" s="4" t="str">
        <f>_xlfn.XLOOKUP(data[[#This Row],[ticker]],yf_desc[ticker],yf_desc[longName],"-")</f>
        <v>Cboe Implied Correlation Index</v>
      </c>
      <c r="S96" s="4">
        <f>_xlfn.XLOOKUP(data[[#This Row],[ticker]],yf_desc[ticker],yf_desc[longBusinessSummary],"-")</f>
        <v>0</v>
      </c>
      <c r="T96" s="4"/>
    </row>
    <row r="97" spans="1:20" x14ac:dyDescent="0.25">
      <c r="A97" s="4" t="s">
        <v>446</v>
      </c>
      <c r="B97" s="4" t="s">
        <v>40</v>
      </c>
      <c r="C97" s="4" t="s">
        <v>429</v>
      </c>
      <c r="D97" s="4" t="s">
        <v>455</v>
      </c>
      <c r="E97" s="4" t="s">
        <v>454</v>
      </c>
      <c r="F97" s="4" cm="1">
        <f t="array" ref="F97">_xlfn.SWITCH(data[[#This Row],[diffusion_type]],"lognormal",0.0001,"normal",-0.01)*IF(data[[#This Row],[asset_class]]="Vol",1,1)</f>
        <v>1E-4</v>
      </c>
      <c r="G97" s="4"/>
      <c r="H97" s="4"/>
      <c r="I97" s="4"/>
      <c r="J97" s="4" t="s">
        <v>522</v>
      </c>
      <c r="K97" s="4">
        <v>1</v>
      </c>
      <c r="L97" s="4">
        <v>1</v>
      </c>
      <c r="M97" s="4">
        <v>0</v>
      </c>
      <c r="N97" s="4">
        <v>0</v>
      </c>
      <c r="O97" s="4" t="str">
        <f>data[[#This Row],[factor_name]]</f>
        <v>MWTIX</v>
      </c>
      <c r="P97" s="4" t="str" cm="1">
        <f t="array" ref="P97">_xlfn.IFS(data[[#This Row],[description_override]]&lt;&gt;"",data[[#This Row],[description_override]],data[[#This Row],[Description_GPT]]&lt;&gt;"",data[[#This Row],[Description_GPT]],data[[#This Row],[Underlying]]&lt;&gt;"",data[[#This Row],[Underlying]],TRUE,"-")</f>
        <v>TCW MetWest Total Return Bd I</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446</v>
      </c>
      <c r="B98" s="4" t="s">
        <v>40</v>
      </c>
      <c r="C98" s="4" t="s">
        <v>687</v>
      </c>
      <c r="D98" s="4" t="s">
        <v>455</v>
      </c>
      <c r="E98" s="4" t="s">
        <v>454</v>
      </c>
      <c r="F98" s="4" cm="1">
        <f t="array" ref="F98">_xlfn.SWITCH(data[[#This Row],[diffusion_type]],"lognormal",0.0001,"normal",-0.01)*IF(data[[#This Row],[asset_class]]="Vol",1,1)</f>
        <v>1E-4</v>
      </c>
      <c r="G98" s="4"/>
      <c r="H98" s="4"/>
      <c r="I98" s="4"/>
      <c r="J98" s="4" t="s">
        <v>688</v>
      </c>
      <c r="K98" s="4">
        <v>1</v>
      </c>
      <c r="L98" s="4">
        <v>0</v>
      </c>
      <c r="M98" s="4">
        <v>0</v>
      </c>
      <c r="N98" s="4">
        <v>0</v>
      </c>
      <c r="O98" s="4" t="str">
        <f>data[[#This Row],[factor_name]]</f>
        <v>FCNTX</v>
      </c>
      <c r="P98" s="4" t="str" cm="1">
        <f t="array" ref="P98">_xlfn.IFS(data[[#This Row],[description_override]]&lt;&gt;"",data[[#This Row],[description_override]],data[[#This Row],[Description_GPT]]&lt;&gt;"",data[[#This Row],[Description_GPT]],data[[#This Row],[Underlying]]&lt;&gt;"",data[[#This Row],[Underlying]],TRUE,"-")</f>
        <v>Fidelity Contrafund</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727</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Row],[factor_name]],_xlfn.ANCHORARRAY(composites!$I$2),_xlfn.ANCHORARRAY(composites!$J$2))</f>
        <v>PSP 0.5, XLF -0.5, BKLN 0.5, LQDH -0.5</v>
      </c>
      <c r="K99" s="4">
        <v>1</v>
      </c>
      <c r="L99" s="4">
        <v>1</v>
      </c>
      <c r="M99" s="4">
        <v>1</v>
      </c>
      <c r="N99" s="4">
        <v>0</v>
      </c>
      <c r="O99" s="4" t="str">
        <f>data[[#This Row],[factor_name]]</f>
        <v>PRIVATES</v>
      </c>
      <c r="P99" s="4" t="str" cm="1">
        <f t="array" ref="P99">_xlfn.IFS(data[[#This Row],[description_override]]&lt;&gt;"",data[[#This Row],[description_override]],data[[#This Row],[Description_GPT]]&lt;&gt;"",data[[#This Row],[Description_GPT]],data[[#This Row],[Underlying]]&lt;&gt;"",data[[#This Row],[Underlying]],TRUE,"-")</f>
        <v>PSP 0.5, XLF -0.5, BKLN 0.5, LQDH -0.5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439</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Row],[factor_name]],_xlfn.ANCHORARRAY(composites!$I$2),_xlfn.ANCHORARRAY(composites!$J$2))</f>
        <v>SHY 1, BSV 1</v>
      </c>
      <c r="K100" s="4">
        <v>1</v>
      </c>
      <c r="L100" s="4">
        <v>1</v>
      </c>
      <c r="M100" s="4">
        <v>1</v>
      </c>
      <c r="N100" s="4">
        <v>0</v>
      </c>
      <c r="O100" s="4" t="str">
        <f>data[[#This Row],[factor_name]]</f>
        <v>FED</v>
      </c>
      <c r="P100" s="4" t="str" cm="1">
        <f t="array" ref="P100">_xlfn.IFS(data[[#This Row],[description_override]]&lt;&gt;"",data[[#This Row],[description_override]],data[[#This Row],[Description_GPT]]&lt;&gt;"",data[[#This Row],[Description_GPT]],data[[#This Row],[Underlying]]&lt;&gt;"",data[[#This Row],[Underlying]],TRUE,"-")</f>
        <v>SHY 1, BSV 1</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421</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Row],[factor_name]],_xlfn.ANCHORARRAY(composites!$I$2),_xlfn.ANCHORARRAY(composites!$J$2))</f>
        <v>AIQ 1, QQQ 0.25, IWM -0.25</v>
      </c>
      <c r="K101" s="4">
        <v>1</v>
      </c>
      <c r="L101" s="4">
        <v>1</v>
      </c>
      <c r="M101" s="4">
        <v>1</v>
      </c>
      <c r="N101" s="4">
        <v>0</v>
      </c>
      <c r="O101" s="4" t="str">
        <f>data[[#This Row],[factor_name]]</f>
        <v>AI</v>
      </c>
      <c r="P101" s="4" t="str" cm="1">
        <f t="array" ref="P101">_xlfn.IFS(data[[#This Row],[description_override]]&lt;&gt;"",data[[#This Row],[description_override]],data[[#This Row],[Description_GPT]]&lt;&gt;"",data[[#This Row],[Description_GPT]],data[[#This Row],[Underlying]]&lt;&gt;"",data[[#This Row],[Underlying]],TRUE,"-")</f>
        <v>AIQ 1, QQQ 0.25, IWM -0.25</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444</v>
      </c>
      <c r="B102" s="4" t="s">
        <v>40</v>
      </c>
      <c r="C102" s="4" t="s">
        <v>450</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Row],[factor_name]],_xlfn.ANCHORARRAY(composites!$I$2),_xlfn.ANCHORARRAY(composites!$J$2))</f>
        <v>GLD 0.65, USO 0.3, ^VIX3M -0.15, FEZ -0.05</v>
      </c>
      <c r="K102" s="4">
        <v>1</v>
      </c>
      <c r="L102" s="4">
        <v>1</v>
      </c>
      <c r="M102" s="4">
        <v>1</v>
      </c>
      <c r="N102" s="4">
        <v>0</v>
      </c>
      <c r="O102" s="4" t="str">
        <f>data[[#This Row],[factor_name]]</f>
        <v>GEOPOLITICS</v>
      </c>
      <c r="P102" s="4" t="str" cm="1">
        <f t="array" ref="P102">_xlfn.IFS(data[[#This Row],[description_override]]&lt;&gt;"",data[[#This Row],[description_override]],data[[#This Row],[Description_GPT]]&lt;&gt;"",data[[#This Row],[Description_GPT]],data[[#This Row],[Underlying]]&lt;&gt;"",data[[#This Row],[Underlying]],TRUE,"-")</f>
        <v>GLD 0.65, USO 0.3, ^VIX3M -0.15, FEZ -0.05</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444</v>
      </c>
      <c r="B103" s="4" t="s">
        <v>40</v>
      </c>
      <c r="C103" s="4" t="s">
        <v>500</v>
      </c>
      <c r="D103" s="4" t="s">
        <v>445</v>
      </c>
      <c r="E103" s="4" t="s">
        <v>454</v>
      </c>
      <c r="F103" s="4" cm="1">
        <f t="array" ref="F103">_xlfn.SWITCH(data[[#This Row],[diffusion_type]],"lognormal",0.0001,"normal",-0.01)*IF(data[[#This Row],[asset_class]]="Vol",1,1)</f>
        <v>1E-4</v>
      </c>
      <c r="G103" s="4"/>
      <c r="H103" s="4"/>
      <c r="I103" s="4"/>
      <c r="J103" s="4" t="str" cm="1">
        <f t="array" ref="J103">_xlfn.XLOOKUP(data[[#This Row],[factor_name]],_xlfn.ANCHORARRAY(composites!$I$2),_xlfn.ANCHORARRAY(composites!$J$2))</f>
        <v>GLD 0.21, FXY 0.30, FXF 0.37, ^VIX3M -0.04, XLP 0.15, XLY -0.15</v>
      </c>
      <c r="K103" s="4">
        <v>1</v>
      </c>
      <c r="L103" s="4">
        <v>1</v>
      </c>
      <c r="M103" s="4">
        <v>1</v>
      </c>
      <c r="N103" s="4">
        <v>0</v>
      </c>
      <c r="O103" s="4" t="str">
        <f>data[[#This Row],[factor_name]]</f>
        <v>TRADEWAR</v>
      </c>
      <c r="P103" s="4" t="str" cm="1">
        <f t="array" ref="P103">_xlfn.IFS(data[[#This Row],[description_override]]&lt;&gt;"",data[[#This Row],[description_override]],data[[#This Row],[Description_GPT]]&lt;&gt;"",data[[#This Row],[Description_GPT]],data[[#This Row],[Underlying]]&lt;&gt;"",data[[#This Row],[Underlying]],TRUE,"-")</f>
        <v>GLD 0.21, FXY 0.30, FXF 0.37, ^VIX3M -0.04, XLP 0.15, XLY -0.15</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444</v>
      </c>
      <c r="B104" s="4" t="s">
        <v>40</v>
      </c>
      <c r="C104" s="4" t="s">
        <v>722</v>
      </c>
      <c r="D104" s="4" t="s">
        <v>445</v>
      </c>
      <c r="E104" s="4" t="s">
        <v>454</v>
      </c>
      <c r="F104" s="4" cm="1">
        <f t="array" ref="F104">_xlfn.SWITCH(data[[#This Row],[diffusion_type]],"lognormal",0.0001,"normal",-0.01)*IF(data[[#This Row],[asset_class]]="Vol",1,1)</f>
        <v>1E-4</v>
      </c>
      <c r="G104" s="4"/>
      <c r="H104" s="4"/>
      <c r="I104" s="4"/>
      <c r="J104" s="4" t="str" cm="1">
        <f t="array" ref="J104">_xlfn.XLOOKUP(data[[#This Row],[factor_name]],_xlfn.ANCHORARRAY(composites!$I$2),_xlfn.ANCHORARRAY(composites!$J$2))</f>
        <v>USO 1</v>
      </c>
      <c r="K104" s="4">
        <v>1</v>
      </c>
      <c r="L104" s="4">
        <v>1</v>
      </c>
      <c r="M104" s="4">
        <v>1</v>
      </c>
      <c r="N104" s="4">
        <v>0</v>
      </c>
      <c r="O104" s="4" t="str">
        <f>data[[#This Row],[factor_name]]</f>
        <v>IRAN</v>
      </c>
      <c r="P104" s="4" t="str" cm="1">
        <f t="array" ref="P104">_xlfn.IFS(data[[#This Row],[description_override]]&lt;&gt;"",data[[#This Row],[description_override]],data[[#This Row],[Description_GPT]]&lt;&gt;"",data[[#This Row],[Description_GPT]],data[[#This Row],[Underlying]]&lt;&gt;"",data[[#This Row],[Underlying]],TRUE,"-")</f>
        <v>USO 1</v>
      </c>
      <c r="Q104" s="4" t="str">
        <f>_xlfn.XLOOKUP(data[[#This Row],[ticker]],yf_desc[ticker],yf_desc[shortName],"-")</f>
        <v>-</v>
      </c>
      <c r="R104" s="4" t="str">
        <f>_xlfn.XLOOKUP(data[[#This Row],[ticker]],yf_desc[ticker],yf_desc[longName],"-")</f>
        <v>-</v>
      </c>
      <c r="S104" s="4" t="str">
        <f>_xlfn.XLOOKUP(data[[#This Row],[ticker]],yf_desc[ticker],yf_desc[longBusinessSummary],"-")</f>
        <v>-</v>
      </c>
      <c r="T104" s="4"/>
    </row>
    <row r="105" spans="1:20" x14ac:dyDescent="0.25">
      <c r="A105" s="4" t="s">
        <v>444</v>
      </c>
      <c r="B105" s="4" t="s">
        <v>40</v>
      </c>
      <c r="C105" s="4" t="s">
        <v>723</v>
      </c>
      <c r="D105" s="4" t="s">
        <v>445</v>
      </c>
      <c r="E105" s="4" t="s">
        <v>454</v>
      </c>
      <c r="F105" s="4" cm="1">
        <f t="array" ref="F105">_xlfn.SWITCH(data[[#This Row],[diffusion_type]],"lognormal",0.0001,"normal",-0.01)*IF(data[[#This Row],[asset_class]]="Vol",1,1)</f>
        <v>1E-4</v>
      </c>
      <c r="G105" s="4"/>
      <c r="H105" s="4"/>
      <c r="I105" s="4"/>
      <c r="J105" s="4" t="str" cm="1">
        <f t="array" ref="J105">_xlfn.XLOOKUP(data[[#This Row],[factor_name]],_xlfn.ANCHORARRAY(composites!$I$2),_xlfn.ANCHORARRAY(composites!$J$2))</f>
        <v>SMH 1, IGV -1, QQQ 1</v>
      </c>
      <c r="K105" s="4">
        <v>1</v>
      </c>
      <c r="L105" s="4">
        <v>1</v>
      </c>
      <c r="M105" s="4">
        <v>1</v>
      </c>
      <c r="N105" s="4">
        <v>0</v>
      </c>
      <c r="O105" s="4" t="str">
        <f>data[[#This Row],[factor_name]]</f>
        <v>SEMI-SOFT</v>
      </c>
      <c r="P105" s="4" t="str" cm="1">
        <f t="array" ref="P105">_xlfn.IFS(data[[#This Row],[description_override]]&lt;&gt;"",data[[#This Row],[description_override]],data[[#This Row],[Description_GPT]]&lt;&gt;"",data[[#This Row],[Description_GPT]],data[[#This Row],[Underlying]]&lt;&gt;"",data[[#This Row],[Underlying]],TRUE,"-")</f>
        <v>SMH 1, IGV -1, QQQ 1</v>
      </c>
      <c r="Q105" s="4" t="str">
        <f>_xlfn.XLOOKUP(data[[#This Row],[ticker]],yf_desc[ticker],yf_desc[shortName],"-")</f>
        <v>-</v>
      </c>
      <c r="R105" s="4" t="str">
        <f>_xlfn.XLOOKUP(data[[#This Row],[ticker]],yf_desc[ticker],yf_desc[longName],"-")</f>
        <v>-</v>
      </c>
      <c r="S105" s="4" t="str">
        <f>_xlfn.XLOOKUP(data[[#This Row],[ticker]],yf_desc[ticker],yf_desc[longBusinessSummary],"-")</f>
        <v>-</v>
      </c>
      <c r="T105" s="4"/>
    </row>
    <row r="106" spans="1:20" x14ac:dyDescent="0.25">
      <c r="A106" s="4" t="s">
        <v>128</v>
      </c>
      <c r="B106" s="4" t="s">
        <v>40</v>
      </c>
      <c r="C106" s="4" t="s">
        <v>451</v>
      </c>
      <c r="D106" s="4" t="s">
        <v>445</v>
      </c>
      <c r="E106" s="4" t="s">
        <v>454</v>
      </c>
      <c r="F106" s="4" cm="1">
        <f t="array" ref="F106">_xlfn.SWITCH(data[[#This Row],[diffusion_type]],"lognormal",0.0001,"normal",-0.01)*IF(data[[#This Row],[asset_class]]="Vol",1,1)</f>
        <v>1E-4</v>
      </c>
      <c r="G106" s="4"/>
      <c r="H106" s="4"/>
      <c r="I106" s="4"/>
      <c r="J106" s="4" t="str" cm="1">
        <f t="array" ref="J106">_xlfn.XLOOKUP(data[[#This Row],[factor_name]],_xlfn.ANCHORARRAY(composites!$I$2),_xlfn.ANCHORARRAY(composites!$J$2))</f>
        <v>SHY -3.86, IEF 1</v>
      </c>
      <c r="K106" s="4">
        <v>1</v>
      </c>
      <c r="L106" s="4">
        <v>1</v>
      </c>
      <c r="M106" s="4">
        <v>1</v>
      </c>
      <c r="N106" s="4">
        <v>0</v>
      </c>
      <c r="O106" s="4" t="str">
        <f>data[[#This Row],[factor_name]]</f>
        <v>2s10s</v>
      </c>
      <c r="P106" s="4" t="str" cm="1">
        <f t="array" ref="P106">_xlfn.IFS(data[[#This Row],[description_override]]&lt;&gt;"",data[[#This Row],[description_override]],data[[#This Row],[Description_GPT]]&lt;&gt;"",data[[#This Row],[Description_GPT]],data[[#This Row],[Underlying]]&lt;&gt;"",data[[#This Row],[Underlying]],TRUE,"-")</f>
        <v>SHY -3.86, IEF 1</v>
      </c>
      <c r="Q106" s="4" t="str">
        <f>_xlfn.XLOOKUP(data[[#This Row],[ticker]],yf_desc[ticker],yf_desc[shortName],"-")</f>
        <v>-</v>
      </c>
      <c r="R106" s="4" t="str">
        <f>_xlfn.XLOOKUP(data[[#This Row],[ticker]],yf_desc[ticker],yf_desc[longName],"-")</f>
        <v>-</v>
      </c>
      <c r="S106" s="4" t="str">
        <f>_xlfn.XLOOKUP(data[[#This Row],[ticker]],yf_desc[ticker],yf_desc[longBusinessSummary],"-")</f>
        <v>-</v>
      </c>
      <c r="T106" s="4"/>
    </row>
    <row r="107" spans="1:20" x14ac:dyDescent="0.25">
      <c r="A107" s="4" t="s">
        <v>39</v>
      </c>
      <c r="B107" s="4" t="s">
        <v>40</v>
      </c>
      <c r="C107" s="4" t="s">
        <v>503</v>
      </c>
      <c r="D107" s="4" t="s">
        <v>445</v>
      </c>
      <c r="E107" s="4" t="s">
        <v>454</v>
      </c>
      <c r="F107" s="4" cm="1">
        <f t="array" ref="F107">_xlfn.SWITCH(data[[#This Row],[diffusion_type]],"lognormal",0.0001,"normal",-0.01)*IF(data[[#This Row],[asset_class]]="Vol",1,1)</f>
        <v>1E-4</v>
      </c>
      <c r="G107" s="4"/>
      <c r="H107" s="4" t="s">
        <v>505</v>
      </c>
      <c r="I107" s="4"/>
      <c r="J107" s="4" t="str" cm="1">
        <f t="array" ref="J107">_xlfn.XLOOKUP(data[[#This Row],[factor_name]],_xlfn.ANCHORARRAY(composites!$I$2),_xlfn.ANCHORARRAY(composites!$J$2))</f>
        <v>XLP 1, XLY -1</v>
      </c>
      <c r="K107" s="4">
        <v>1</v>
      </c>
      <c r="L107" s="4">
        <v>1</v>
      </c>
      <c r="M107" s="4">
        <v>1</v>
      </c>
      <c r="N107" s="4">
        <v>0</v>
      </c>
      <c r="O107" s="4" t="str">
        <f>data[[#This Row],[factor_name]]</f>
        <v>XLPXLY</v>
      </c>
      <c r="P107" s="4" t="str" cm="1">
        <f t="array" ref="P107">_xlfn.IFS(data[[#This Row],[description_override]]&lt;&gt;"",data[[#This Row],[description_override]],data[[#This Row],[Description_GPT]]&lt;&gt;"",data[[#This Row],[Description_GPT]],data[[#This Row],[Underlying]]&lt;&gt;"",data[[#This Row],[Underlying]],TRUE,"-")</f>
        <v>Staples/Discretionary</v>
      </c>
      <c r="Q107" s="4" t="str">
        <f>_xlfn.XLOOKUP(data[[#This Row],[ticker]],yf_desc[ticker],yf_desc[shortName],"-")</f>
        <v>-</v>
      </c>
      <c r="R107" s="4" t="str">
        <f>_xlfn.XLOOKUP(data[[#This Row],[ticker]],yf_desc[ticker],yf_desc[longName],"-")</f>
        <v>-</v>
      </c>
      <c r="S107" s="4" t="str">
        <f>_xlfn.XLOOKUP(data[[#This Row],[ticker]],yf_desc[ticker],yf_desc[longBusinessSummary],"-")</f>
        <v>-</v>
      </c>
      <c r="T107" s="4"/>
    </row>
    <row r="108" spans="1:20" x14ac:dyDescent="0.25">
      <c r="A108" s="4" t="s">
        <v>527</v>
      </c>
      <c r="B108" s="4" t="s">
        <v>40</v>
      </c>
      <c r="C108" s="4" t="s">
        <v>528</v>
      </c>
      <c r="D108" s="4" t="s">
        <v>529</v>
      </c>
      <c r="E108" s="4" t="s">
        <v>467</v>
      </c>
      <c r="F108" s="4">
        <v>0.01</v>
      </c>
      <c r="G108" s="4"/>
      <c r="H108" s="4"/>
      <c r="I108" s="4"/>
      <c r="J108" s="4" t="s">
        <v>530</v>
      </c>
      <c r="K108" s="4">
        <v>0</v>
      </c>
      <c r="L108" s="4">
        <v>0</v>
      </c>
      <c r="M108" s="4">
        <v>0</v>
      </c>
      <c r="N108" s="4">
        <v>0</v>
      </c>
      <c r="O108" s="11" t="s">
        <v>531</v>
      </c>
      <c r="P108" s="4" t="str" cm="1">
        <f t="array" ref="P108">_xlfn.IFS(data[[#This Row],[description_override]]&lt;&gt;"",data[[#This Row],[description_override]],data[[#This Row],[Description_GPT]]&lt;&gt;"",data[[#This Row],[Description_GPT]],data[[#This Row],[Underlying]]&lt;&gt;"",data[[#This Row],[Underlying]],TRUE,"-")</f>
        <v>Economic Policy Uncertainty Index for United States</v>
      </c>
      <c r="Q108" s="11" t="str">
        <f>_xlfn.XLOOKUP(data[[#This Row],[ticker]],yf_desc[ticker],yf_desc[shortName],"-")</f>
        <v>-</v>
      </c>
      <c r="R108" s="11" t="str">
        <f>_xlfn.XLOOKUP(data[[#This Row],[ticker]],yf_desc[ticker],yf_desc[longName],"-")</f>
        <v>-</v>
      </c>
      <c r="S108" s="11" t="str">
        <f>_xlfn.XLOOKUP(data[[#This Row],[ticker]],yf_desc[ticker],yf_desc[longBusinessSummary],"-")</f>
        <v>-</v>
      </c>
      <c r="T108" s="4"/>
    </row>
    <row r="109" spans="1:20" x14ac:dyDescent="0.25">
      <c r="A109" s="4" t="s">
        <v>65</v>
      </c>
      <c r="B109" s="4" t="s">
        <v>40</v>
      </c>
      <c r="C109" s="4" t="s">
        <v>682</v>
      </c>
      <c r="D109" s="4" t="s">
        <v>686</v>
      </c>
      <c r="E109" s="4" t="s">
        <v>454</v>
      </c>
      <c r="F109" s="4" cm="1">
        <f t="array" ref="F109">_xlfn.SWITCH(data[[#This Row],[diffusion_type]],"lognormal",0.0001,"normal",-0.01)*IF(data[[#This Row],[asset_class]]="Vol",1,1)</f>
        <v>1E-4</v>
      </c>
      <c r="G109" s="4"/>
      <c r="H109" s="4"/>
      <c r="I109" s="4"/>
      <c r="J109" s="4"/>
      <c r="K109" s="4">
        <v>1</v>
      </c>
      <c r="L109" s="4">
        <v>0</v>
      </c>
      <c r="M109" s="4">
        <v>0</v>
      </c>
      <c r="N109" s="4">
        <v>0</v>
      </c>
      <c r="O109" s="4" t="s">
        <v>684</v>
      </c>
      <c r="P109" s="4" t="str" cm="1">
        <f t="array" ref="P109">_xlfn.IFS(data[[#This Row],[description_override]]&lt;&gt;"",data[[#This Row],[description_override]],data[[#This Row],[Description_GPT]]&lt;&gt;"",data[[#This Row],[Description_GPT]],data[[#This Row],[Underlying]]&lt;&gt;"",data[[#This Row],[Underlying]],TRUE,"-")</f>
        <v>-</v>
      </c>
      <c r="Q109" s="4" t="str">
        <f>_xlfn.XLOOKUP(data[[#This Row],[ticker]],yf_desc[ticker],yf_desc[shortName],"-")</f>
        <v>-</v>
      </c>
      <c r="R109" s="4" t="str">
        <f>_xlfn.XLOOKUP(data[[#This Row],[ticker]],yf_desc[ticker],yf_desc[longName],"-")</f>
        <v>-</v>
      </c>
      <c r="S109" s="4" t="str">
        <f>_xlfn.XLOOKUP(data[[#This Row],[ticker]],yf_desc[ticker],yf_desc[longBusinessSummary],"-")</f>
        <v>-</v>
      </c>
      <c r="T109" s="4"/>
    </row>
    <row r="110" spans="1:20" x14ac:dyDescent="0.25">
      <c r="A110" s="4" t="s">
        <v>475</v>
      </c>
      <c r="B110" s="4" t="s">
        <v>40</v>
      </c>
      <c r="C110" s="4" t="s">
        <v>683</v>
      </c>
      <c r="D110" s="4" t="s">
        <v>686</v>
      </c>
      <c r="E110" s="4" t="s">
        <v>467</v>
      </c>
      <c r="F110" s="4" cm="1">
        <f t="array" ref="F110">_xlfn.SWITCH(data[[#This Row],[diffusion_type]],"lognormal",0.0001,"normal",-0.01)*IF(data[[#This Row],[asset_class]]="Vol",1,1)</f>
        <v>-0.01</v>
      </c>
      <c r="G110" s="4"/>
      <c r="H110" s="4"/>
      <c r="I110" s="4"/>
      <c r="J110" s="4"/>
      <c r="K110" s="4">
        <v>1</v>
      </c>
      <c r="L110" s="4">
        <v>0</v>
      </c>
      <c r="M110" s="4">
        <v>0</v>
      </c>
      <c r="N110" s="4">
        <v>0</v>
      </c>
      <c r="O110" s="4" t="s">
        <v>685</v>
      </c>
      <c r="P110" s="4" t="str" cm="1">
        <f t="array" ref="P110">_xlfn.IFS(data[[#This Row],[description_override]]&lt;&gt;"",data[[#This Row],[description_override]],data[[#This Row],[Description_GPT]]&lt;&gt;"",data[[#This Row],[Description_GPT]],data[[#This Row],[Underlying]]&lt;&gt;"",data[[#This Row],[Underlying]],TRUE,"-")</f>
        <v>-</v>
      </c>
      <c r="Q110" s="4" t="str">
        <f>_xlfn.XLOOKUP(data[[#This Row],[ticker]],yf_desc[ticker],yf_desc[shortName],"-")</f>
        <v>-</v>
      </c>
      <c r="R110" s="4" t="str">
        <f>_xlfn.XLOOKUP(data[[#This Row],[ticker]],yf_desc[ticker],yf_desc[longName],"-")</f>
        <v>-</v>
      </c>
      <c r="S110" s="4" t="str">
        <f>_xlfn.XLOOKUP(data[[#This Row],[ticker]],yf_desc[ticker],yf_desc[longBusinessSummary],"-")</f>
        <v>-</v>
      </c>
      <c r="T110" s="4"/>
    </row>
  </sheetData>
  <phoneticPr fontId="2" type="noConversion"/>
  <conditionalFormatting sqref="E113:E116">
    <cfRule type="expression" dxfId="0" priority="1">
      <formula>$Q109</formula>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8"/>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8">_xlfn._xlws.FILTER(data[factor_name],data[Active])</f>
        <v>SPY</v>
      </c>
      <c r="B2" t="str" cm="1">
        <f t="array" ref="B2:J88">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IWN</v>
      </c>
      <c r="B28" t="str">
        <v>Equities</v>
      </c>
      <c r="C28" t="str">
        <v>USD</v>
      </c>
      <c r="D28">
        <v>0</v>
      </c>
      <c r="E28">
        <v>0</v>
      </c>
      <c r="F28" t="str">
        <v>Value</v>
      </c>
      <c r="G28" t="str">
        <v>yfinance</v>
      </c>
      <c r="H28" t="str">
        <v>IWN</v>
      </c>
      <c r="I28" t="str">
        <v>lognormal</v>
      </c>
      <c r="J28">
        <v>1E-4</v>
      </c>
    </row>
    <row r="29" spans="1:10" x14ac:dyDescent="0.25">
      <c r="A29" t="str">
        <v>IWO</v>
      </c>
      <c r="B29" t="str">
        <v>Equities</v>
      </c>
      <c r="C29" t="str">
        <v>USD</v>
      </c>
      <c r="D29">
        <v>0</v>
      </c>
      <c r="E29">
        <v>0</v>
      </c>
      <c r="F29" t="str">
        <v>Growth</v>
      </c>
      <c r="G29" t="str">
        <v>yfinance</v>
      </c>
      <c r="H29" t="str">
        <v>IWO</v>
      </c>
      <c r="I29" t="str">
        <v>lognormal</v>
      </c>
      <c r="J29">
        <v>1E-4</v>
      </c>
    </row>
    <row r="30" spans="1:10" x14ac:dyDescent="0.25">
      <c r="A30" t="str">
        <v>MTUM</v>
      </c>
      <c r="B30" t="str">
        <v>Equities</v>
      </c>
      <c r="C30" t="str">
        <v>USD</v>
      </c>
      <c r="D30">
        <v>0</v>
      </c>
      <c r="E30">
        <v>0</v>
      </c>
      <c r="F30" t="str">
        <v>Momentum</v>
      </c>
      <c r="G30" t="str">
        <v>yfinance</v>
      </c>
      <c r="H30" t="str">
        <v>MTUM</v>
      </c>
      <c r="I30" t="str">
        <v>lognormal</v>
      </c>
      <c r="J30">
        <v>1E-4</v>
      </c>
    </row>
    <row r="31" spans="1:10" x14ac:dyDescent="0.25">
      <c r="A31" t="str">
        <v>FEZ</v>
      </c>
      <c r="B31" t="str">
        <v>Equities</v>
      </c>
      <c r="C31" t="str">
        <v>USD</v>
      </c>
      <c r="D31">
        <v>0</v>
      </c>
      <c r="E31">
        <v>0</v>
      </c>
      <c r="F31" t="str">
        <v>Eurostoxx 50</v>
      </c>
      <c r="G31" t="str">
        <v>yfinance</v>
      </c>
      <c r="H31" t="str">
        <v>FEZ</v>
      </c>
      <c r="I31" t="str">
        <v>lognormal</v>
      </c>
      <c r="J31">
        <v>1E-4</v>
      </c>
    </row>
    <row r="32" spans="1:10" x14ac:dyDescent="0.25">
      <c r="A32" t="str">
        <v>EWU</v>
      </c>
      <c r="B32" t="str">
        <v>Equities</v>
      </c>
      <c r="C32" t="str">
        <v>GBP</v>
      </c>
      <c r="D32">
        <v>0</v>
      </c>
      <c r="E32">
        <v>0</v>
      </c>
      <c r="F32" t="str">
        <v>FTSE 100</v>
      </c>
      <c r="G32" t="str">
        <v>yfinance</v>
      </c>
      <c r="H32" t="str">
        <v>EWU</v>
      </c>
      <c r="I32" t="str">
        <v>lognormal</v>
      </c>
      <c r="J32">
        <v>1E-4</v>
      </c>
    </row>
    <row r="33" spans="1:10" x14ac:dyDescent="0.25">
      <c r="A33" t="str">
        <v>DAX</v>
      </c>
      <c r="B33" t="str">
        <v>Equities</v>
      </c>
      <c r="C33" t="str">
        <v>EUR</v>
      </c>
      <c r="D33">
        <v>0</v>
      </c>
      <c r="E33">
        <v>0</v>
      </c>
      <c r="F33" t="str">
        <v>DAX (Germany)</v>
      </c>
      <c r="G33" t="str">
        <v>yfinance</v>
      </c>
      <c r="H33" t="str">
        <v>DAX</v>
      </c>
      <c r="I33" t="str">
        <v>lognormal</v>
      </c>
      <c r="J33">
        <v>1E-4</v>
      </c>
    </row>
    <row r="34" spans="1:10" x14ac:dyDescent="0.25">
      <c r="A34" t="str">
        <v>EWC</v>
      </c>
      <c r="B34" t="str">
        <v>Equities</v>
      </c>
      <c r="C34" t="str">
        <v>CAD</v>
      </c>
      <c r="D34">
        <v>0</v>
      </c>
      <c r="E34">
        <v>0</v>
      </c>
      <c r="F34" t="str">
        <v>MSCI Canada</v>
      </c>
      <c r="G34" t="str">
        <v>yfinance</v>
      </c>
      <c r="H34" t="str">
        <v>EWC</v>
      </c>
      <c r="I34" t="str">
        <v>lognormal</v>
      </c>
      <c r="J34">
        <v>1E-4</v>
      </c>
    </row>
    <row r="35" spans="1:10" x14ac:dyDescent="0.25">
      <c r="A35" t="str">
        <v>EWI</v>
      </c>
      <c r="B35" t="str">
        <v>Equities</v>
      </c>
      <c r="C35" t="str">
        <v>EUR</v>
      </c>
      <c r="D35">
        <v>0</v>
      </c>
      <c r="E35">
        <v>0</v>
      </c>
      <c r="F35" t="str">
        <v>MSCI Italy</v>
      </c>
      <c r="G35" t="str">
        <v>yfinance</v>
      </c>
      <c r="H35" t="str">
        <v>EWI</v>
      </c>
      <c r="I35" t="str">
        <v>lognormal</v>
      </c>
      <c r="J35">
        <v>1E-4</v>
      </c>
    </row>
    <row r="36" spans="1:10" x14ac:dyDescent="0.25">
      <c r="A36" t="str">
        <v>^N225</v>
      </c>
      <c r="B36" t="str">
        <v>Equities</v>
      </c>
      <c r="C36" t="str">
        <v>JPY</v>
      </c>
      <c r="D36">
        <v>0</v>
      </c>
      <c r="E36">
        <v>0</v>
      </c>
      <c r="F36" t="str">
        <v>Nikkei 225</v>
      </c>
      <c r="G36" t="str">
        <v>yfinance</v>
      </c>
      <c r="H36" t="str">
        <v>^N225</v>
      </c>
      <c r="I36" t="str">
        <v>lognormal</v>
      </c>
      <c r="J36">
        <v>1E-4</v>
      </c>
    </row>
    <row r="37" spans="1:10" x14ac:dyDescent="0.25">
      <c r="A37" t="str">
        <v>FXI</v>
      </c>
      <c r="B37" t="str">
        <v>Equities</v>
      </c>
      <c r="C37" t="str">
        <v>CNH</v>
      </c>
      <c r="D37">
        <v>0</v>
      </c>
      <c r="E37">
        <v>0</v>
      </c>
      <c r="F37" t="str">
        <v>China Large-Cap</v>
      </c>
      <c r="G37" t="str">
        <v>yfinance</v>
      </c>
      <c r="H37" t="str">
        <v>FXI</v>
      </c>
      <c r="I37" t="str">
        <v>lognormal</v>
      </c>
      <c r="J37">
        <v>1E-4</v>
      </c>
    </row>
    <row r="38" spans="1:10" x14ac:dyDescent="0.25">
      <c r="A38" t="str">
        <v>ASHR</v>
      </c>
      <c r="B38" t="str">
        <v>Equities</v>
      </c>
      <c r="C38" t="str">
        <v>CNH</v>
      </c>
      <c r="D38">
        <v>0</v>
      </c>
      <c r="E38">
        <v>0</v>
      </c>
      <c r="F38" t="str">
        <v>CSI 300 (China)</v>
      </c>
      <c r="G38" t="str">
        <v>yfinance</v>
      </c>
      <c r="H38" t="str">
        <v>ASHR</v>
      </c>
      <c r="I38" t="str">
        <v>lognormal</v>
      </c>
      <c r="J38">
        <v>1E-4</v>
      </c>
    </row>
    <row r="39" spans="1:10" x14ac:dyDescent="0.25">
      <c r="A39" t="str">
        <v>KWEB</v>
      </c>
      <c r="B39" t="str">
        <v>Equities</v>
      </c>
      <c r="C39" t="str">
        <v>CNH</v>
      </c>
      <c r="D39">
        <v>0</v>
      </c>
      <c r="E39">
        <v>0</v>
      </c>
      <c r="F39" t="str">
        <v>CSI China Internet</v>
      </c>
      <c r="G39" t="str">
        <v>yfinance</v>
      </c>
      <c r="H39" t="str">
        <v>KWEB</v>
      </c>
      <c r="I39" t="str">
        <v>lognormal</v>
      </c>
      <c r="J39">
        <v>1E-4</v>
      </c>
    </row>
    <row r="40" spans="1:10" x14ac:dyDescent="0.25">
      <c r="A40" t="str">
        <v>EEM</v>
      </c>
      <c r="B40" t="str">
        <v>Equities</v>
      </c>
      <c r="C40" t="str">
        <v>EM</v>
      </c>
      <c r="D40">
        <v>0</v>
      </c>
      <c r="E40">
        <v>0</v>
      </c>
      <c r="F40" t="str">
        <v>MSCI EM</v>
      </c>
      <c r="G40" t="str">
        <v>yfinance</v>
      </c>
      <c r="H40" t="str">
        <v>EEM</v>
      </c>
      <c r="I40" t="str">
        <v>lognormal</v>
      </c>
      <c r="J40">
        <v>1E-4</v>
      </c>
    </row>
    <row r="41" spans="1:10" x14ac:dyDescent="0.25">
      <c r="A41" t="str">
        <v>LQD</v>
      </c>
      <c r="B41" t="str">
        <v>Credit</v>
      </c>
      <c r="C41" t="str">
        <v>USD</v>
      </c>
      <c r="D41">
        <v>0</v>
      </c>
      <c r="E41">
        <v>0</v>
      </c>
      <c r="F41" t="str">
        <v>iShares iBoxx $ Investment Grade Corporate Bond ETF</v>
      </c>
      <c r="G41" t="str">
        <v>yfinance</v>
      </c>
      <c r="H41" t="str">
        <v>LQD</v>
      </c>
      <c r="I41" t="str">
        <v>lognormal</v>
      </c>
      <c r="J41">
        <v>1E-4</v>
      </c>
    </row>
    <row r="42" spans="1:10" x14ac:dyDescent="0.25">
      <c r="A42" t="str">
        <v>BSV</v>
      </c>
      <c r="B42" t="str">
        <v>Credit</v>
      </c>
      <c r="C42" t="str">
        <v>USD</v>
      </c>
      <c r="D42">
        <v>0</v>
      </c>
      <c r="E42">
        <v>0</v>
      </c>
      <c r="F42" t="str">
        <v>Vanguard Short-Term Bond Index Fund ETF</v>
      </c>
      <c r="G42" t="str">
        <v>yfinance</v>
      </c>
      <c r="H42" t="str">
        <v>BSV</v>
      </c>
      <c r="I42" t="str">
        <v>lognormal</v>
      </c>
      <c r="J42">
        <v>1E-4</v>
      </c>
    </row>
    <row r="43" spans="1:10" x14ac:dyDescent="0.25">
      <c r="A43" t="str">
        <v>HYG</v>
      </c>
      <c r="B43" t="str">
        <v>Credit</v>
      </c>
      <c r="C43" t="str">
        <v>USD</v>
      </c>
      <c r="D43">
        <v>0</v>
      </c>
      <c r="E43">
        <v>0</v>
      </c>
      <c r="F43" t="str">
        <v>iShares iBoxx $ High Yield Corporate Bond ETF</v>
      </c>
      <c r="G43" t="str">
        <v>yfinance</v>
      </c>
      <c r="H43" t="str">
        <v>HYG</v>
      </c>
      <c r="I43" t="str">
        <v>lognormal</v>
      </c>
      <c r="J43">
        <v>1E-4</v>
      </c>
    </row>
    <row r="44" spans="1:10" x14ac:dyDescent="0.25">
      <c r="A44" t="str">
        <v>LQDH</v>
      </c>
      <c r="B44" t="str">
        <v>Credit</v>
      </c>
      <c r="C44" t="str">
        <v>USD</v>
      </c>
      <c r="D44">
        <v>1</v>
      </c>
      <c r="E44">
        <v>0</v>
      </c>
      <c r="F44" t="str">
        <v>Hedged LQD</v>
      </c>
      <c r="G44" t="str">
        <v>yfinance</v>
      </c>
      <c r="H44" t="str">
        <v>LQDH</v>
      </c>
      <c r="I44" t="str">
        <v>lognormal</v>
      </c>
      <c r="J44">
        <v>1E-4</v>
      </c>
    </row>
    <row r="45" spans="1:10" x14ac:dyDescent="0.25">
      <c r="A45" t="str">
        <v>HYGH</v>
      </c>
      <c r="B45" t="str">
        <v>Credit</v>
      </c>
      <c r="C45" t="str">
        <v>USD</v>
      </c>
      <c r="D45">
        <v>0</v>
      </c>
      <c r="E45">
        <v>0</v>
      </c>
      <c r="F45" t="str">
        <v>Hedged HYG</v>
      </c>
      <c r="G45" t="str">
        <v>yfinance</v>
      </c>
      <c r="H45" t="str">
        <v>HYGH</v>
      </c>
      <c r="I45" t="str">
        <v>lognormal</v>
      </c>
      <c r="J45">
        <v>1E-4</v>
      </c>
    </row>
    <row r="46" spans="1:10" x14ac:dyDescent="0.25">
      <c r="A46" t="str">
        <v>BKLN</v>
      </c>
      <c r="B46" t="str">
        <v>Credit</v>
      </c>
      <c r="C46" t="str">
        <v>USD</v>
      </c>
      <c r="D46">
        <v>0</v>
      </c>
      <c r="E46">
        <v>0</v>
      </c>
      <c r="F46" t="str">
        <v>Bank Loans</v>
      </c>
      <c r="G46" t="str">
        <v>yfinance</v>
      </c>
      <c r="H46" t="str">
        <v>BKLN</v>
      </c>
      <c r="I46" t="str">
        <v>lognormal</v>
      </c>
      <c r="J46">
        <v>1E-4</v>
      </c>
    </row>
    <row r="47" spans="1:10" x14ac:dyDescent="0.25">
      <c r="A47" t="str">
        <v>AGG</v>
      </c>
      <c r="B47" t="str">
        <v>Credit</v>
      </c>
      <c r="C47" t="str">
        <v>USD</v>
      </c>
      <c r="D47">
        <v>0</v>
      </c>
      <c r="E47">
        <v>0</v>
      </c>
      <c r="F47" t="str">
        <v>US Agg</v>
      </c>
      <c r="G47" t="str">
        <v>yfinance</v>
      </c>
      <c r="H47" t="str">
        <v>AGG</v>
      </c>
      <c r="I47" t="str">
        <v>lognormal</v>
      </c>
      <c r="J47">
        <v>1E-4</v>
      </c>
    </row>
    <row r="48" spans="1:10" x14ac:dyDescent="0.25">
      <c r="A48" t="str">
        <v>^TNX</v>
      </c>
      <c r="B48" t="str">
        <v>Rates</v>
      </c>
      <c r="C48" t="str">
        <v>USD</v>
      </c>
      <c r="D48">
        <v>0</v>
      </c>
      <c r="E48">
        <v>0</v>
      </c>
      <c r="F48" t="str">
        <v>CBOE Interest Rate 10 Year</v>
      </c>
      <c r="G48" t="str">
        <v>yfinance</v>
      </c>
      <c r="H48" t="str">
        <v>^TNX</v>
      </c>
      <c r="I48" t="str">
        <v>normal</v>
      </c>
      <c r="J48">
        <v>-0.01</v>
      </c>
    </row>
    <row r="49" spans="1:10" x14ac:dyDescent="0.25">
      <c r="A49" t="str">
        <v>SHY</v>
      </c>
      <c r="B49" t="str">
        <v>Rates</v>
      </c>
      <c r="C49" t="str">
        <v>USD</v>
      </c>
      <c r="D49">
        <v>0</v>
      </c>
      <c r="E49">
        <v>0</v>
      </c>
      <c r="F49" t="str">
        <v>1-3 Year Treasury</v>
      </c>
      <c r="G49" t="str">
        <v>yfinance</v>
      </c>
      <c r="H49" t="str">
        <v>SHY</v>
      </c>
      <c r="I49" t="str">
        <v>lognormal</v>
      </c>
      <c r="J49">
        <v>1E-4</v>
      </c>
    </row>
    <row r="50" spans="1:10" x14ac:dyDescent="0.25">
      <c r="A50" t="str">
        <v>IEI</v>
      </c>
      <c r="B50" t="str">
        <v>Rates</v>
      </c>
      <c r="C50" t="str">
        <v>USD</v>
      </c>
      <c r="D50">
        <v>0</v>
      </c>
      <c r="E50">
        <v>0</v>
      </c>
      <c r="F50" t="str">
        <v>3-7 Year Treasury</v>
      </c>
      <c r="G50" t="str">
        <v>yfinance</v>
      </c>
      <c r="H50" t="str">
        <v>IEI</v>
      </c>
      <c r="I50" t="str">
        <v>lognormal</v>
      </c>
      <c r="J50">
        <v>1E-4</v>
      </c>
    </row>
    <row r="51" spans="1:10" x14ac:dyDescent="0.25">
      <c r="A51" t="str">
        <v>IEF</v>
      </c>
      <c r="B51" t="str">
        <v>Rates</v>
      </c>
      <c r="C51" t="str">
        <v>USD</v>
      </c>
      <c r="D51">
        <v>1</v>
      </c>
      <c r="E51">
        <v>0</v>
      </c>
      <c r="F51" t="str">
        <v>7-10 Year Treasury</v>
      </c>
      <c r="G51" t="str">
        <v>yfinance</v>
      </c>
      <c r="H51" t="str">
        <v>IEF</v>
      </c>
      <c r="I51" t="str">
        <v>lognormal</v>
      </c>
      <c r="J51">
        <v>1E-4</v>
      </c>
    </row>
    <row r="52" spans="1:10" x14ac:dyDescent="0.25">
      <c r="A52" t="str">
        <v>TLT</v>
      </c>
      <c r="B52" t="str">
        <v>Rates</v>
      </c>
      <c r="C52" t="str">
        <v>USD</v>
      </c>
      <c r="D52">
        <v>0</v>
      </c>
      <c r="E52">
        <v>0</v>
      </c>
      <c r="F52" t="str">
        <v>20+ Year Treasury</v>
      </c>
      <c r="G52" t="str">
        <v>yfinance</v>
      </c>
      <c r="H52" t="str">
        <v>TLT</v>
      </c>
      <c r="I52" t="str">
        <v>lognormal</v>
      </c>
      <c r="J52">
        <v>1E-4</v>
      </c>
    </row>
    <row r="53" spans="1:10" x14ac:dyDescent="0.25">
      <c r="A53" t="str">
        <v>TIP</v>
      </c>
      <c r="B53" t="str">
        <v>Rates</v>
      </c>
      <c r="C53" t="str">
        <v>USD</v>
      </c>
      <c r="D53">
        <v>0</v>
      </c>
      <c r="E53">
        <v>0</v>
      </c>
      <c r="F53" t="str">
        <v>iShares TIPS Bond ETF</v>
      </c>
      <c r="G53" t="str">
        <v>yfinance</v>
      </c>
      <c r="H53" t="str">
        <v>TIP</v>
      </c>
      <c r="I53" t="str">
        <v>lognormal</v>
      </c>
      <c r="J53">
        <v>1E-4</v>
      </c>
    </row>
    <row r="54" spans="1:10" x14ac:dyDescent="0.25">
      <c r="A54" t="str">
        <v>VTIP</v>
      </c>
      <c r="B54" t="str">
        <v>Rates</v>
      </c>
      <c r="C54" t="str">
        <v>USD</v>
      </c>
      <c r="D54">
        <v>0</v>
      </c>
      <c r="E54">
        <v>0</v>
      </c>
      <c r="F54" t="str">
        <v>Short-Term Inflation-Protected Securities ETF</v>
      </c>
      <c r="G54" t="str">
        <v>yfinance</v>
      </c>
      <c r="H54" t="str">
        <v>VTIP</v>
      </c>
      <c r="I54" t="str">
        <v>lognormal</v>
      </c>
      <c r="J54">
        <v>1E-4</v>
      </c>
    </row>
    <row r="55" spans="1:10" x14ac:dyDescent="0.25">
      <c r="A55" t="str">
        <v>AGNC</v>
      </c>
      <c r="B55" t="str">
        <v>Rates</v>
      </c>
      <c r="C55" t="str">
        <v>USD</v>
      </c>
      <c r="D55">
        <v>0</v>
      </c>
      <c r="E55">
        <v>0</v>
      </c>
      <c r="F55" t="str">
        <v>AGNC Investment Corp.</v>
      </c>
      <c r="G55" t="str">
        <v>yfinance</v>
      </c>
      <c r="H55" t="str">
        <v>AGNC</v>
      </c>
      <c r="I55" t="str">
        <v>lognormal</v>
      </c>
      <c r="J55">
        <v>1E-4</v>
      </c>
    </row>
    <row r="56" spans="1:10" x14ac:dyDescent="0.25">
      <c r="A56" t="str">
        <v>VMBS</v>
      </c>
      <c r="B56" t="str">
        <v>Rates</v>
      </c>
      <c r="C56" t="str">
        <v>USD</v>
      </c>
      <c r="D56">
        <v>0</v>
      </c>
      <c r="E56">
        <v>0</v>
      </c>
      <c r="F56" t="str">
        <v>Mortgage-Backed Securities ETF</v>
      </c>
      <c r="G56" t="str">
        <v>yfinance</v>
      </c>
      <c r="H56" t="str">
        <v>VMBS</v>
      </c>
      <c r="I56" t="str">
        <v>lognormal</v>
      </c>
      <c r="J56">
        <v>1E-4</v>
      </c>
    </row>
    <row r="57" spans="1:10" x14ac:dyDescent="0.25">
      <c r="A57" t="str">
        <v>CMBS</v>
      </c>
      <c r="B57" t="str">
        <v>Rates</v>
      </c>
      <c r="C57" t="str">
        <v>USD</v>
      </c>
      <c r="D57">
        <v>0</v>
      </c>
      <c r="E57">
        <v>0</v>
      </c>
      <c r="F57" t="str">
        <v>iShares CMBS ETF</v>
      </c>
      <c r="G57" t="str">
        <v>yfinance</v>
      </c>
      <c r="H57" t="str">
        <v>CMBS</v>
      </c>
      <c r="I57" t="str">
        <v>lognormal</v>
      </c>
      <c r="J57">
        <v>1E-4</v>
      </c>
    </row>
    <row r="58" spans="1:10" x14ac:dyDescent="0.25">
      <c r="A58" t="str">
        <v>EMB</v>
      </c>
      <c r="B58" t="str">
        <v>Rates</v>
      </c>
      <c r="C58" t="str">
        <v>EM</v>
      </c>
      <c r="D58">
        <v>0</v>
      </c>
      <c r="E58">
        <v>0</v>
      </c>
      <c r="F58" t="str">
        <v>iShares J.P. Morgan USD Emerging Markets Bond ETF</v>
      </c>
      <c r="G58" t="str">
        <v>yfinance</v>
      </c>
      <c r="H58" t="str">
        <v>EMB</v>
      </c>
      <c r="I58" t="str">
        <v>lognormal</v>
      </c>
      <c r="J58">
        <v>1E-4</v>
      </c>
    </row>
    <row r="59" spans="1:10" x14ac:dyDescent="0.25">
      <c r="A59" t="str">
        <v>GLD</v>
      </c>
      <c r="B59" t="str">
        <v>Commodities</v>
      </c>
      <c r="C59" t="str">
        <v>USD</v>
      </c>
      <c r="D59">
        <v>0</v>
      </c>
      <c r="E59">
        <v>0</v>
      </c>
      <c r="F59" t="str">
        <v>SPDR Gold Shares</v>
      </c>
      <c r="G59" t="str">
        <v>yfinance</v>
      </c>
      <c r="H59" t="str">
        <v>GLD</v>
      </c>
      <c r="I59" t="str">
        <v>lognormal</v>
      </c>
      <c r="J59">
        <v>1E-4</v>
      </c>
    </row>
    <row r="60" spans="1:10" x14ac:dyDescent="0.25">
      <c r="A60" t="str">
        <v>SLV</v>
      </c>
      <c r="B60" t="str">
        <v>Commodities</v>
      </c>
      <c r="C60" t="str">
        <v>USD</v>
      </c>
      <c r="D60">
        <v>0</v>
      </c>
      <c r="E60">
        <v>0</v>
      </c>
      <c r="F60" t="str">
        <v>iShares Silver Trust</v>
      </c>
      <c r="G60" t="str">
        <v>yfinance</v>
      </c>
      <c r="H60" t="str">
        <v>SLV</v>
      </c>
      <c r="I60" t="str">
        <v>lognormal</v>
      </c>
      <c r="J60">
        <v>1E-4</v>
      </c>
    </row>
    <row r="61" spans="1:10" x14ac:dyDescent="0.25">
      <c r="A61" t="str">
        <v>USO</v>
      </c>
      <c r="B61" t="str">
        <v>Commodities</v>
      </c>
      <c r="C61" t="str">
        <v>USD</v>
      </c>
      <c r="D61">
        <v>0</v>
      </c>
      <c r="E61">
        <v>0</v>
      </c>
      <c r="F61" t="str">
        <v>United States Oil Fund</v>
      </c>
      <c r="G61" t="str">
        <v>yfinance</v>
      </c>
      <c r="H61" t="str">
        <v>USO</v>
      </c>
      <c r="I61" t="str">
        <v>lognormal</v>
      </c>
      <c r="J61">
        <v>1E-4</v>
      </c>
    </row>
    <row r="62" spans="1:10" x14ac:dyDescent="0.25">
      <c r="A62" t="str">
        <v>UUP</v>
      </c>
      <c r="B62" t="str">
        <v>Currencies</v>
      </c>
      <c r="C62" t="str">
        <v>USD</v>
      </c>
      <c r="D62">
        <v>0</v>
      </c>
      <c r="E62">
        <v>0</v>
      </c>
      <c r="F62" t="str">
        <v>Invesco DB US Dollar Index Bullish Fund</v>
      </c>
      <c r="G62" t="str">
        <v>yfinance</v>
      </c>
      <c r="H62" t="str">
        <v>UUP</v>
      </c>
      <c r="I62" t="str">
        <v>lognormal</v>
      </c>
      <c r="J62">
        <v>1E-4</v>
      </c>
    </row>
    <row r="63" spans="1:10" x14ac:dyDescent="0.25">
      <c r="A63" t="str">
        <v>DX-Y.NYB</v>
      </c>
      <c r="B63" t="str">
        <v>Currencies</v>
      </c>
      <c r="C63" t="str">
        <v>USD</v>
      </c>
      <c r="D63">
        <v>0</v>
      </c>
      <c r="E63">
        <v>0</v>
      </c>
      <c r="F63" t="str">
        <v>U.S. Dollar Index</v>
      </c>
      <c r="G63" t="str">
        <v>yfinance</v>
      </c>
      <c r="H63" t="str">
        <v>DX-Y.NYB</v>
      </c>
      <c r="I63" t="str">
        <v>lognormal</v>
      </c>
      <c r="J63">
        <v>1E-4</v>
      </c>
    </row>
    <row r="64" spans="1:10" x14ac:dyDescent="0.25">
      <c r="A64" t="str">
        <v>FXE</v>
      </c>
      <c r="B64" t="str">
        <v>Currencies</v>
      </c>
      <c r="C64" t="str">
        <v>EUR</v>
      </c>
      <c r="D64">
        <v>0</v>
      </c>
      <c r="E64">
        <v>0</v>
      </c>
      <c r="F64" t="str">
        <v>Invesco CurrencyShares Euro Trust</v>
      </c>
      <c r="G64" t="str">
        <v>yfinance</v>
      </c>
      <c r="H64" t="str">
        <v>FXE</v>
      </c>
      <c r="I64" t="str">
        <v>lognormal</v>
      </c>
      <c r="J64">
        <v>1E-4</v>
      </c>
    </row>
    <row r="65" spans="1:10" x14ac:dyDescent="0.25">
      <c r="A65" t="str">
        <v>FXF</v>
      </c>
      <c r="B65" t="str">
        <v>Currencies</v>
      </c>
      <c r="C65" t="str">
        <v>EUR</v>
      </c>
      <c r="D65">
        <v>0</v>
      </c>
      <c r="E65">
        <v>0</v>
      </c>
      <c r="F65" t="str">
        <v>Invesco CurrencyShares Swiss Franc Trust</v>
      </c>
      <c r="G65" t="str">
        <v>yfinance</v>
      </c>
      <c r="H65" t="str">
        <v>FXF</v>
      </c>
      <c r="I65" t="str">
        <v>lognormal</v>
      </c>
      <c r="J65">
        <v>1E-4</v>
      </c>
    </row>
    <row r="66" spans="1:10" x14ac:dyDescent="0.25">
      <c r="A66" t="str">
        <v>FXA</v>
      </c>
      <c r="B66" t="str">
        <v>Currencies</v>
      </c>
      <c r="C66" t="str">
        <v>Commod</v>
      </c>
      <c r="D66">
        <v>0</v>
      </c>
      <c r="E66">
        <v>0</v>
      </c>
      <c r="F66" t="str">
        <v>Invesco CurrencyShares Australian Dollar Trust</v>
      </c>
      <c r="G66" t="str">
        <v>yfinance</v>
      </c>
      <c r="H66" t="str">
        <v>FXA</v>
      </c>
      <c r="I66" t="str">
        <v>lognormal</v>
      </c>
      <c r="J66">
        <v>1E-4</v>
      </c>
    </row>
    <row r="67" spans="1:10" x14ac:dyDescent="0.25">
      <c r="A67" t="str">
        <v>FXB</v>
      </c>
      <c r="B67" t="str">
        <v>Currencies</v>
      </c>
      <c r="C67" t="str">
        <v>GBP</v>
      </c>
      <c r="D67">
        <v>0</v>
      </c>
      <c r="E67">
        <v>0</v>
      </c>
      <c r="F67" t="str">
        <v>Invesco CurrencyShares British Pound Sterling Trust</v>
      </c>
      <c r="G67" t="str">
        <v>yfinance</v>
      </c>
      <c r="H67" t="str">
        <v>FXB</v>
      </c>
      <c r="I67" t="str">
        <v>lognormal</v>
      </c>
      <c r="J67">
        <v>1E-4</v>
      </c>
    </row>
    <row r="68" spans="1:10" x14ac:dyDescent="0.25">
      <c r="A68" t="str">
        <v>FXC</v>
      </c>
      <c r="B68" t="str">
        <v>Currencies</v>
      </c>
      <c r="C68" t="str">
        <v>USD</v>
      </c>
      <c r="D68">
        <v>0</v>
      </c>
      <c r="E68">
        <v>0</v>
      </c>
      <c r="F68" t="str">
        <v>Invesco CurrencyShares Canadian Dollar Trust</v>
      </c>
      <c r="G68" t="str">
        <v>yfinance</v>
      </c>
      <c r="H68" t="str">
        <v>FXC</v>
      </c>
      <c r="I68" t="str">
        <v>lognormal</v>
      </c>
      <c r="J68">
        <v>1E-4</v>
      </c>
    </row>
    <row r="69" spans="1:10" x14ac:dyDescent="0.25">
      <c r="A69" t="str">
        <v>FXY</v>
      </c>
      <c r="B69" t="str">
        <v>Currencies</v>
      </c>
      <c r="C69" t="str">
        <v>JPY</v>
      </c>
      <c r="D69">
        <v>0</v>
      </c>
      <c r="E69">
        <v>0</v>
      </c>
      <c r="F69" t="str">
        <v>Invesco CurrencyShares Japanese Yen Trust</v>
      </c>
      <c r="G69" t="str">
        <v>yfinance</v>
      </c>
      <c r="H69" t="str">
        <v>FXY</v>
      </c>
      <c r="I69" t="str">
        <v>lognormal</v>
      </c>
      <c r="J69">
        <v>1E-4</v>
      </c>
    </row>
    <row r="70" spans="1:10" x14ac:dyDescent="0.25">
      <c r="A70" t="str">
        <v>^VIX</v>
      </c>
      <c r="B70" t="str">
        <v>Vol</v>
      </c>
      <c r="C70" t="str">
        <v>USD</v>
      </c>
      <c r="D70">
        <v>0</v>
      </c>
      <c r="E70">
        <v>0</v>
      </c>
      <c r="F70" t="str">
        <v>CBOE Volatility Index</v>
      </c>
      <c r="G70" t="str">
        <v>yfinance</v>
      </c>
      <c r="H70" t="str">
        <v>^VIX</v>
      </c>
      <c r="I70" t="str">
        <v>normal</v>
      </c>
      <c r="J70">
        <v>-0.01</v>
      </c>
    </row>
    <row r="71" spans="1:10" x14ac:dyDescent="0.25">
      <c r="A71" t="str">
        <v>VXX</v>
      </c>
      <c r="B71" t="str">
        <v>Vol</v>
      </c>
      <c r="C71" t="str">
        <v>USD</v>
      </c>
      <c r="D71">
        <v>0</v>
      </c>
      <c r="E71">
        <v>0</v>
      </c>
      <c r="F71" t="str">
        <v>VIX Short-Term Futures ETN</v>
      </c>
      <c r="G71" t="str">
        <v>yfinance</v>
      </c>
      <c r="H71" t="str">
        <v>VXX</v>
      </c>
      <c r="I71" t="str">
        <v>normal</v>
      </c>
      <c r="J71">
        <v>-0.01</v>
      </c>
    </row>
    <row r="72" spans="1:10" x14ac:dyDescent="0.25">
      <c r="A72" t="str">
        <v>^VIX3M</v>
      </c>
      <c r="B72" t="str">
        <v>Vol</v>
      </c>
      <c r="C72" t="str">
        <v>USD</v>
      </c>
      <c r="D72">
        <v>0</v>
      </c>
      <c r="E72">
        <v>0</v>
      </c>
      <c r="F72" t="str">
        <v>CBOE S&amp;P 500 3-Month Volatility</v>
      </c>
      <c r="G72" t="str">
        <v>yfinance</v>
      </c>
      <c r="H72" t="str">
        <v>^VIX3M</v>
      </c>
      <c r="I72" t="str">
        <v>normal</v>
      </c>
      <c r="J72">
        <v>-0.01</v>
      </c>
    </row>
    <row r="73" spans="1:10" x14ac:dyDescent="0.25">
      <c r="A73" t="str">
        <v>^MOVE</v>
      </c>
      <c r="B73" t="str">
        <v>Vol</v>
      </c>
      <c r="C73" t="str">
        <v>USD</v>
      </c>
      <c r="D73">
        <v>0</v>
      </c>
      <c r="E73">
        <v>0</v>
      </c>
      <c r="F73" t="str">
        <v>ICE BofAML MOVE Index</v>
      </c>
      <c r="G73" t="str">
        <v>yfinance</v>
      </c>
      <c r="H73" t="str">
        <v>^MOVE</v>
      </c>
      <c r="I73" t="str">
        <v>normal</v>
      </c>
      <c r="J73">
        <v>-0.01</v>
      </c>
    </row>
    <row r="74" spans="1:10" x14ac:dyDescent="0.25">
      <c r="A74" t="str">
        <v>^OVX</v>
      </c>
      <c r="B74" t="str">
        <v>Vol</v>
      </c>
      <c r="C74" t="str">
        <v>USD</v>
      </c>
      <c r="D74">
        <v>0</v>
      </c>
      <c r="E74">
        <v>0</v>
      </c>
      <c r="F74" t="str">
        <v>CBOE Crude Oil Volatility Index</v>
      </c>
      <c r="G74" t="str">
        <v>yfinance</v>
      </c>
      <c r="H74" t="str">
        <v>^OVX</v>
      </c>
      <c r="I74" t="str">
        <v>normal</v>
      </c>
      <c r="J74">
        <v>-0.01</v>
      </c>
    </row>
    <row r="75" spans="1:10" x14ac:dyDescent="0.25">
      <c r="A75" t="str">
        <v>^GVZ</v>
      </c>
      <c r="B75" t="str">
        <v>Vol</v>
      </c>
      <c r="C75" t="str">
        <v>USD</v>
      </c>
      <c r="D75">
        <v>0</v>
      </c>
      <c r="E75">
        <v>0</v>
      </c>
      <c r="F75" t="str">
        <v>CBOE Gold Volatility Index</v>
      </c>
      <c r="G75" t="str">
        <v>yfinance</v>
      </c>
      <c r="H75" t="str">
        <v>^GVZ</v>
      </c>
      <c r="I75" t="str">
        <v>normal</v>
      </c>
      <c r="J75">
        <v>-0.01</v>
      </c>
    </row>
    <row r="76" spans="1:10" x14ac:dyDescent="0.25">
      <c r="A76" t="str">
        <v>MWTIX</v>
      </c>
      <c r="B76" t="str">
        <v>Portfolio</v>
      </c>
      <c r="C76" t="str">
        <v>USD</v>
      </c>
      <c r="D76">
        <v>1</v>
      </c>
      <c r="E76">
        <v>0</v>
      </c>
      <c r="F76" t="str">
        <v>TCW MetWest Total Return Bd I</v>
      </c>
      <c r="G76" t="str">
        <v>yfinance</v>
      </c>
      <c r="H76" t="str">
        <v>MWTIX</v>
      </c>
      <c r="I76" t="str">
        <v>lognormal</v>
      </c>
      <c r="J76">
        <v>1E-4</v>
      </c>
    </row>
    <row r="77" spans="1:10" x14ac:dyDescent="0.25">
      <c r="A77" t="str">
        <v>FCNTX</v>
      </c>
      <c r="B77" t="str">
        <v>Portfolio</v>
      </c>
      <c r="C77" t="str">
        <v>USD</v>
      </c>
      <c r="D77">
        <v>0</v>
      </c>
      <c r="E77">
        <v>0</v>
      </c>
      <c r="F77" t="str">
        <v>Fidelity Contrafund</v>
      </c>
      <c r="G77" t="str">
        <v>yfinance</v>
      </c>
      <c r="H77" t="str">
        <v>FCNTX</v>
      </c>
      <c r="I77" t="str">
        <v>lognormal</v>
      </c>
      <c r="J77">
        <v>1E-4</v>
      </c>
    </row>
    <row r="78" spans="1:10" x14ac:dyDescent="0.25">
      <c r="A78" t="str">
        <v>PRIVATES</v>
      </c>
      <c r="B78" t="str">
        <v>Theme</v>
      </c>
      <c r="C78" t="str">
        <v>USD</v>
      </c>
      <c r="D78">
        <v>1</v>
      </c>
      <c r="E78">
        <v>1</v>
      </c>
      <c r="F78" t="str">
        <v>PSP 0.5, XLF -0.5, BKLN 0.5, LQDH -0.5</v>
      </c>
      <c r="G78" t="str">
        <v>composite</v>
      </c>
      <c r="H78" t="str">
        <v>PRIVATES</v>
      </c>
      <c r="I78" t="str">
        <v>lognormal</v>
      </c>
      <c r="J78">
        <v>1E-4</v>
      </c>
    </row>
    <row r="79" spans="1:10" x14ac:dyDescent="0.25">
      <c r="A79" t="str">
        <v>FED</v>
      </c>
      <c r="B79" t="str">
        <v>Theme</v>
      </c>
      <c r="C79" t="str">
        <v>USD</v>
      </c>
      <c r="D79">
        <v>1</v>
      </c>
      <c r="E79">
        <v>1</v>
      </c>
      <c r="F79" t="str">
        <v>SHY 1, BSV 1</v>
      </c>
      <c r="G79" t="str">
        <v>composite</v>
      </c>
      <c r="H79" t="str">
        <v>FED</v>
      </c>
      <c r="I79" t="str">
        <v>lognormal</v>
      </c>
      <c r="J79">
        <v>1E-4</v>
      </c>
    </row>
    <row r="80" spans="1:10" x14ac:dyDescent="0.25">
      <c r="A80" t="str">
        <v>AI</v>
      </c>
      <c r="B80" t="str">
        <v>Theme</v>
      </c>
      <c r="C80" t="str">
        <v>USD</v>
      </c>
      <c r="D80">
        <v>1</v>
      </c>
      <c r="E80">
        <v>1</v>
      </c>
      <c r="F80" t="str">
        <v>AIQ 1, QQQ 0.25, IWM -0.25</v>
      </c>
      <c r="G80" t="str">
        <v>composite</v>
      </c>
      <c r="H80" t="str">
        <v>AI</v>
      </c>
      <c r="I80" t="str">
        <v>lognormal</v>
      </c>
      <c r="J80">
        <v>1E-4</v>
      </c>
    </row>
    <row r="81" spans="1:10" x14ac:dyDescent="0.25">
      <c r="A81" t="str">
        <v>GEOPOLITICS</v>
      </c>
      <c r="B81" t="str">
        <v>Theme</v>
      </c>
      <c r="C81" t="str">
        <v>USD</v>
      </c>
      <c r="D81">
        <v>1</v>
      </c>
      <c r="E81">
        <v>1</v>
      </c>
      <c r="F81" t="str">
        <v>GLD 0.65, USO 0.3, ^VIX3M -0.15, FEZ -0.05</v>
      </c>
      <c r="G81" t="str">
        <v>composite</v>
      </c>
      <c r="H81" t="str">
        <v>GEOPOLITICS</v>
      </c>
      <c r="I81" t="str">
        <v>lognormal</v>
      </c>
      <c r="J81">
        <v>1E-4</v>
      </c>
    </row>
    <row r="82" spans="1:10" x14ac:dyDescent="0.25">
      <c r="A82" t="str">
        <v>TRADEWAR</v>
      </c>
      <c r="B82" t="str">
        <v>Theme</v>
      </c>
      <c r="C82" t="str">
        <v>USD</v>
      </c>
      <c r="D82">
        <v>1</v>
      </c>
      <c r="E82">
        <v>1</v>
      </c>
      <c r="F82" t="str">
        <v>GLD 0.21, FXY 0.30, FXF 0.37, ^VIX3M -0.04, XLP 0.15, XLY -0.15</v>
      </c>
      <c r="G82" t="str">
        <v>composite</v>
      </c>
      <c r="H82" t="str">
        <v>TRADEWAR</v>
      </c>
      <c r="I82" t="str">
        <v>lognormal</v>
      </c>
      <c r="J82">
        <v>1E-4</v>
      </c>
    </row>
    <row r="83" spans="1:10" x14ac:dyDescent="0.25">
      <c r="A83" t="str">
        <v>IRAN</v>
      </c>
      <c r="B83" t="str">
        <v>Theme</v>
      </c>
      <c r="C83" t="str">
        <v>USD</v>
      </c>
      <c r="D83">
        <v>1</v>
      </c>
      <c r="E83">
        <v>1</v>
      </c>
      <c r="F83" t="str">
        <v>USO 1</v>
      </c>
      <c r="G83" t="str">
        <v>composite</v>
      </c>
      <c r="H83" t="str">
        <v>IRAN</v>
      </c>
      <c r="I83" t="str">
        <v>lognormal</v>
      </c>
      <c r="J83">
        <v>1E-4</v>
      </c>
    </row>
    <row r="84" spans="1:10" x14ac:dyDescent="0.25">
      <c r="A84" t="str">
        <v>SEMI-SOFT</v>
      </c>
      <c r="B84" t="str">
        <v>Theme</v>
      </c>
      <c r="C84" t="str">
        <v>USD</v>
      </c>
      <c r="D84">
        <v>1</v>
      </c>
      <c r="E84">
        <v>1</v>
      </c>
      <c r="F84" t="str">
        <v>SMH 1, IGV -1, QQQ 1</v>
      </c>
      <c r="G84" t="str">
        <v>composite</v>
      </c>
      <c r="H84" t="str">
        <v>SEMI-SOFT</v>
      </c>
      <c r="I84" t="str">
        <v>lognormal</v>
      </c>
      <c r="J84">
        <v>1E-4</v>
      </c>
    </row>
    <row r="85" spans="1:10" x14ac:dyDescent="0.25">
      <c r="A85" t="str">
        <v>2s10s</v>
      </c>
      <c r="B85" t="str">
        <v>Rates</v>
      </c>
      <c r="C85" t="str">
        <v>USD</v>
      </c>
      <c r="D85">
        <v>1</v>
      </c>
      <c r="E85">
        <v>1</v>
      </c>
      <c r="F85" t="str">
        <v>SHY -3.86, IEF 1</v>
      </c>
      <c r="G85" t="str">
        <v>composite</v>
      </c>
      <c r="H85" t="str">
        <v>2s10s</v>
      </c>
      <c r="I85" t="str">
        <v>lognormal</v>
      </c>
      <c r="J85">
        <v>1E-4</v>
      </c>
    </row>
    <row r="86" spans="1:10" x14ac:dyDescent="0.25">
      <c r="A86" t="str">
        <v>XLPXLY</v>
      </c>
      <c r="B86" t="str">
        <v>Equities</v>
      </c>
      <c r="C86" t="str">
        <v>USD</v>
      </c>
      <c r="D86">
        <v>1</v>
      </c>
      <c r="E86">
        <v>1</v>
      </c>
      <c r="F86" t="str">
        <v>Staples/Discretionary</v>
      </c>
      <c r="G86" t="str">
        <v>composite</v>
      </c>
      <c r="H86" t="str">
        <v>XLPXLY</v>
      </c>
      <c r="I86" t="str">
        <v>lognormal</v>
      </c>
      <c r="J86">
        <v>1E-4</v>
      </c>
    </row>
    <row r="87" spans="1:10" x14ac:dyDescent="0.25">
      <c r="A87" t="str">
        <v>BTC</v>
      </c>
      <c r="B87" t="str">
        <v>Currencies</v>
      </c>
      <c r="C87" t="str">
        <v>USD</v>
      </c>
      <c r="D87">
        <v>0</v>
      </c>
      <c r="E87">
        <v>0</v>
      </c>
      <c r="F87" t="str">
        <v>-</v>
      </c>
      <c r="G87" t="str">
        <v>lmxl</v>
      </c>
      <c r="H87" t="str">
        <v>BTC1_price</v>
      </c>
      <c r="I87" t="str">
        <v>lognormal</v>
      </c>
      <c r="J87">
        <v>1E-4</v>
      </c>
    </row>
    <row r="88" spans="1:10" x14ac:dyDescent="0.25">
      <c r="A88" t="str">
        <v>BTC_vol</v>
      </c>
      <c r="B88" t="str">
        <v>Vol</v>
      </c>
      <c r="C88" t="str">
        <v>USD</v>
      </c>
      <c r="D88">
        <v>0</v>
      </c>
      <c r="E88">
        <v>0</v>
      </c>
      <c r="F88" t="str">
        <v>-</v>
      </c>
      <c r="G88" t="str">
        <v>lmxl</v>
      </c>
      <c r="H88" t="str">
        <v>BTC1_atm</v>
      </c>
      <c r="I88" t="str">
        <v>normal</v>
      </c>
      <c r="J88">
        <v>-0.01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7"/>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7">_xlfn._xlws.FILTER(data[factor_name],(data[Active])*(data[source]="yfinance"))</f>
        <v>SPY</v>
      </c>
      <c r="B2" t="str" cm="1">
        <f t="array" ref="B2:J77">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IWN</v>
      </c>
      <c r="B28" t="str">
        <v>Equities</v>
      </c>
      <c r="C28" t="str">
        <v>USD</v>
      </c>
      <c r="D28">
        <v>0</v>
      </c>
      <c r="E28">
        <v>0</v>
      </c>
      <c r="F28" t="str">
        <v>Value</v>
      </c>
      <c r="G28" t="str">
        <v>yfinance</v>
      </c>
      <c r="H28" t="str">
        <v>IWN</v>
      </c>
      <c r="I28" t="str">
        <v>lognormal</v>
      </c>
      <c r="J28">
        <v>1E-4</v>
      </c>
    </row>
    <row r="29" spans="1:10" x14ac:dyDescent="0.25">
      <c r="A29" t="str">
        <v>IWO</v>
      </c>
      <c r="B29" t="str">
        <v>Equities</v>
      </c>
      <c r="C29" t="str">
        <v>USD</v>
      </c>
      <c r="D29">
        <v>0</v>
      </c>
      <c r="E29">
        <v>0</v>
      </c>
      <c r="F29" t="str">
        <v>Growth</v>
      </c>
      <c r="G29" t="str">
        <v>yfinance</v>
      </c>
      <c r="H29" t="str">
        <v>IWO</v>
      </c>
      <c r="I29" t="str">
        <v>lognormal</v>
      </c>
      <c r="J29">
        <v>1E-4</v>
      </c>
    </row>
    <row r="30" spans="1:10" x14ac:dyDescent="0.25">
      <c r="A30" t="str">
        <v>MTUM</v>
      </c>
      <c r="B30" t="str">
        <v>Equities</v>
      </c>
      <c r="C30" t="str">
        <v>USD</v>
      </c>
      <c r="D30">
        <v>0</v>
      </c>
      <c r="E30">
        <v>0</v>
      </c>
      <c r="F30" t="str">
        <v>Momentum</v>
      </c>
      <c r="G30" t="str">
        <v>yfinance</v>
      </c>
      <c r="H30" t="str">
        <v>MTUM</v>
      </c>
      <c r="I30" t="str">
        <v>lognormal</v>
      </c>
      <c r="J30">
        <v>1E-4</v>
      </c>
    </row>
    <row r="31" spans="1:10" x14ac:dyDescent="0.25">
      <c r="A31" t="str">
        <v>FEZ</v>
      </c>
      <c r="B31" t="str">
        <v>Equities</v>
      </c>
      <c r="C31" t="str">
        <v>USD</v>
      </c>
      <c r="D31">
        <v>0</v>
      </c>
      <c r="E31">
        <v>0</v>
      </c>
      <c r="F31" t="str">
        <v>Eurostoxx 50</v>
      </c>
      <c r="G31" t="str">
        <v>yfinance</v>
      </c>
      <c r="H31" t="str">
        <v>FEZ</v>
      </c>
      <c r="I31" t="str">
        <v>lognormal</v>
      </c>
      <c r="J31">
        <v>1E-4</v>
      </c>
    </row>
    <row r="32" spans="1:10" x14ac:dyDescent="0.25">
      <c r="A32" t="str">
        <v>EWU</v>
      </c>
      <c r="B32" t="str">
        <v>Equities</v>
      </c>
      <c r="C32" t="str">
        <v>GBP</v>
      </c>
      <c r="D32">
        <v>0</v>
      </c>
      <c r="E32">
        <v>0</v>
      </c>
      <c r="F32" t="str">
        <v>FTSE 100</v>
      </c>
      <c r="G32" t="str">
        <v>yfinance</v>
      </c>
      <c r="H32" t="str">
        <v>EWU</v>
      </c>
      <c r="I32" t="str">
        <v>lognormal</v>
      </c>
      <c r="J32">
        <v>1E-4</v>
      </c>
    </row>
    <row r="33" spans="1:10" x14ac:dyDescent="0.25">
      <c r="A33" t="str">
        <v>DAX</v>
      </c>
      <c r="B33" t="str">
        <v>Equities</v>
      </c>
      <c r="C33" t="str">
        <v>EUR</v>
      </c>
      <c r="D33">
        <v>0</v>
      </c>
      <c r="E33">
        <v>0</v>
      </c>
      <c r="F33" t="str">
        <v>DAX (Germany)</v>
      </c>
      <c r="G33" t="str">
        <v>yfinance</v>
      </c>
      <c r="H33" t="str">
        <v>DAX</v>
      </c>
      <c r="I33" t="str">
        <v>lognormal</v>
      </c>
      <c r="J33">
        <v>1E-4</v>
      </c>
    </row>
    <row r="34" spans="1:10" x14ac:dyDescent="0.25">
      <c r="A34" t="str">
        <v>EWC</v>
      </c>
      <c r="B34" t="str">
        <v>Equities</v>
      </c>
      <c r="C34" t="str">
        <v>CAD</v>
      </c>
      <c r="D34">
        <v>0</v>
      </c>
      <c r="E34">
        <v>0</v>
      </c>
      <c r="F34" t="str">
        <v>MSCI Canada</v>
      </c>
      <c r="G34" t="str">
        <v>yfinance</v>
      </c>
      <c r="H34" t="str">
        <v>EWC</v>
      </c>
      <c r="I34" t="str">
        <v>lognormal</v>
      </c>
      <c r="J34">
        <v>1E-4</v>
      </c>
    </row>
    <row r="35" spans="1:10" x14ac:dyDescent="0.25">
      <c r="A35" t="str">
        <v>EWI</v>
      </c>
      <c r="B35" t="str">
        <v>Equities</v>
      </c>
      <c r="C35" t="str">
        <v>EUR</v>
      </c>
      <c r="D35">
        <v>0</v>
      </c>
      <c r="E35">
        <v>0</v>
      </c>
      <c r="F35" t="str">
        <v>MSCI Italy</v>
      </c>
      <c r="G35" t="str">
        <v>yfinance</v>
      </c>
      <c r="H35" t="str">
        <v>EWI</v>
      </c>
      <c r="I35" t="str">
        <v>lognormal</v>
      </c>
      <c r="J35">
        <v>1E-4</v>
      </c>
    </row>
    <row r="36" spans="1:10" x14ac:dyDescent="0.25">
      <c r="A36" t="str">
        <v>^N225</v>
      </c>
      <c r="B36" t="str">
        <v>Equities</v>
      </c>
      <c r="C36" t="str">
        <v>JPY</v>
      </c>
      <c r="D36">
        <v>0</v>
      </c>
      <c r="E36">
        <v>0</v>
      </c>
      <c r="F36" t="str">
        <v>Nikkei 225</v>
      </c>
      <c r="G36" t="str">
        <v>yfinance</v>
      </c>
      <c r="H36" t="str">
        <v>^N225</v>
      </c>
      <c r="I36" t="str">
        <v>lognormal</v>
      </c>
      <c r="J36">
        <v>1E-4</v>
      </c>
    </row>
    <row r="37" spans="1:10" x14ac:dyDescent="0.25">
      <c r="A37" t="str">
        <v>FXI</v>
      </c>
      <c r="B37" t="str">
        <v>Equities</v>
      </c>
      <c r="C37" t="str">
        <v>CNH</v>
      </c>
      <c r="D37">
        <v>0</v>
      </c>
      <c r="E37">
        <v>0</v>
      </c>
      <c r="F37" t="str">
        <v>China Large-Cap</v>
      </c>
      <c r="G37" t="str">
        <v>yfinance</v>
      </c>
      <c r="H37" t="str">
        <v>FXI</v>
      </c>
      <c r="I37" t="str">
        <v>lognormal</v>
      </c>
      <c r="J37">
        <v>1E-4</v>
      </c>
    </row>
    <row r="38" spans="1:10" x14ac:dyDescent="0.25">
      <c r="A38" t="str">
        <v>ASHR</v>
      </c>
      <c r="B38" t="str">
        <v>Equities</v>
      </c>
      <c r="C38" t="str">
        <v>CNH</v>
      </c>
      <c r="D38">
        <v>0</v>
      </c>
      <c r="E38">
        <v>0</v>
      </c>
      <c r="F38" t="str">
        <v>CSI 300 (China)</v>
      </c>
      <c r="G38" t="str">
        <v>yfinance</v>
      </c>
      <c r="H38" t="str">
        <v>ASHR</v>
      </c>
      <c r="I38" t="str">
        <v>lognormal</v>
      </c>
      <c r="J38">
        <v>1E-4</v>
      </c>
    </row>
    <row r="39" spans="1:10" x14ac:dyDescent="0.25">
      <c r="A39" t="str">
        <v>KWEB</v>
      </c>
      <c r="B39" t="str">
        <v>Equities</v>
      </c>
      <c r="C39" t="str">
        <v>CNH</v>
      </c>
      <c r="D39">
        <v>0</v>
      </c>
      <c r="E39">
        <v>0</v>
      </c>
      <c r="F39" t="str">
        <v>CSI China Internet</v>
      </c>
      <c r="G39" t="str">
        <v>yfinance</v>
      </c>
      <c r="H39" t="str">
        <v>KWEB</v>
      </c>
      <c r="I39" t="str">
        <v>lognormal</v>
      </c>
      <c r="J39">
        <v>1E-4</v>
      </c>
    </row>
    <row r="40" spans="1:10" x14ac:dyDescent="0.25">
      <c r="A40" t="str">
        <v>EEM</v>
      </c>
      <c r="B40" t="str">
        <v>Equities</v>
      </c>
      <c r="C40" t="str">
        <v>EM</v>
      </c>
      <c r="D40">
        <v>0</v>
      </c>
      <c r="E40">
        <v>0</v>
      </c>
      <c r="F40" t="str">
        <v>MSCI EM</v>
      </c>
      <c r="G40" t="str">
        <v>yfinance</v>
      </c>
      <c r="H40" t="str">
        <v>EEM</v>
      </c>
      <c r="I40" t="str">
        <v>lognormal</v>
      </c>
      <c r="J40">
        <v>1E-4</v>
      </c>
    </row>
    <row r="41" spans="1:10" x14ac:dyDescent="0.25">
      <c r="A41" t="str">
        <v>LQD</v>
      </c>
      <c r="B41" t="str">
        <v>Credit</v>
      </c>
      <c r="C41" t="str">
        <v>USD</v>
      </c>
      <c r="D41">
        <v>0</v>
      </c>
      <c r="E41">
        <v>0</v>
      </c>
      <c r="F41" t="str">
        <v>iShares iBoxx $ Investment Grade Corporate Bond ETF</v>
      </c>
      <c r="G41" t="str">
        <v>yfinance</v>
      </c>
      <c r="H41" t="str">
        <v>LQD</v>
      </c>
      <c r="I41" t="str">
        <v>lognormal</v>
      </c>
      <c r="J41">
        <v>1E-4</v>
      </c>
    </row>
    <row r="42" spans="1:10" x14ac:dyDescent="0.25">
      <c r="A42" t="str">
        <v>BSV</v>
      </c>
      <c r="B42" t="str">
        <v>Credit</v>
      </c>
      <c r="C42" t="str">
        <v>USD</v>
      </c>
      <c r="D42">
        <v>0</v>
      </c>
      <c r="E42">
        <v>0</v>
      </c>
      <c r="F42" t="str">
        <v>Vanguard Short-Term Bond Index Fund ETF</v>
      </c>
      <c r="G42" t="str">
        <v>yfinance</v>
      </c>
      <c r="H42" t="str">
        <v>BSV</v>
      </c>
      <c r="I42" t="str">
        <v>lognormal</v>
      </c>
      <c r="J42">
        <v>1E-4</v>
      </c>
    </row>
    <row r="43" spans="1:10" x14ac:dyDescent="0.25">
      <c r="A43" t="str">
        <v>HYG</v>
      </c>
      <c r="B43" t="str">
        <v>Credit</v>
      </c>
      <c r="C43" t="str">
        <v>USD</v>
      </c>
      <c r="D43">
        <v>0</v>
      </c>
      <c r="E43">
        <v>0</v>
      </c>
      <c r="F43" t="str">
        <v>iShares iBoxx $ High Yield Corporate Bond ETF</v>
      </c>
      <c r="G43" t="str">
        <v>yfinance</v>
      </c>
      <c r="H43" t="str">
        <v>HYG</v>
      </c>
      <c r="I43" t="str">
        <v>lognormal</v>
      </c>
      <c r="J43">
        <v>1E-4</v>
      </c>
    </row>
    <row r="44" spans="1:10" x14ac:dyDescent="0.25">
      <c r="A44" t="str">
        <v>LQDH</v>
      </c>
      <c r="B44" t="str">
        <v>Credit</v>
      </c>
      <c r="C44" t="str">
        <v>USD</v>
      </c>
      <c r="D44">
        <v>1</v>
      </c>
      <c r="E44">
        <v>0</v>
      </c>
      <c r="F44" t="str">
        <v>Hedged LQD</v>
      </c>
      <c r="G44" t="str">
        <v>yfinance</v>
      </c>
      <c r="H44" t="str">
        <v>LQDH</v>
      </c>
      <c r="I44" t="str">
        <v>lognormal</v>
      </c>
      <c r="J44">
        <v>1E-4</v>
      </c>
    </row>
    <row r="45" spans="1:10" x14ac:dyDescent="0.25">
      <c r="A45" t="str">
        <v>HYGH</v>
      </c>
      <c r="B45" t="str">
        <v>Credit</v>
      </c>
      <c r="C45" t="str">
        <v>USD</v>
      </c>
      <c r="D45">
        <v>0</v>
      </c>
      <c r="E45">
        <v>0</v>
      </c>
      <c r="F45" t="str">
        <v>Hedged HYG</v>
      </c>
      <c r="G45" t="str">
        <v>yfinance</v>
      </c>
      <c r="H45" t="str">
        <v>HYGH</v>
      </c>
      <c r="I45" t="str">
        <v>lognormal</v>
      </c>
      <c r="J45">
        <v>1E-4</v>
      </c>
    </row>
    <row r="46" spans="1:10" x14ac:dyDescent="0.25">
      <c r="A46" t="str">
        <v>BKLN</v>
      </c>
      <c r="B46" t="str">
        <v>Credit</v>
      </c>
      <c r="C46" t="str">
        <v>USD</v>
      </c>
      <c r="D46">
        <v>0</v>
      </c>
      <c r="E46">
        <v>0</v>
      </c>
      <c r="F46" t="str">
        <v>Bank Loans</v>
      </c>
      <c r="G46" t="str">
        <v>yfinance</v>
      </c>
      <c r="H46" t="str">
        <v>BKLN</v>
      </c>
      <c r="I46" t="str">
        <v>lognormal</v>
      </c>
      <c r="J46">
        <v>1E-4</v>
      </c>
    </row>
    <row r="47" spans="1:10" x14ac:dyDescent="0.25">
      <c r="A47" t="str">
        <v>AGG</v>
      </c>
      <c r="B47" t="str">
        <v>Credit</v>
      </c>
      <c r="C47" t="str">
        <v>USD</v>
      </c>
      <c r="D47">
        <v>0</v>
      </c>
      <c r="E47">
        <v>0</v>
      </c>
      <c r="F47" t="str">
        <v>US Agg</v>
      </c>
      <c r="G47" t="str">
        <v>yfinance</v>
      </c>
      <c r="H47" t="str">
        <v>AGG</v>
      </c>
      <c r="I47" t="str">
        <v>lognormal</v>
      </c>
      <c r="J47">
        <v>1E-4</v>
      </c>
    </row>
    <row r="48" spans="1:10" x14ac:dyDescent="0.25">
      <c r="A48" t="str">
        <v>^TNX</v>
      </c>
      <c r="B48" t="str">
        <v>Rates</v>
      </c>
      <c r="C48" t="str">
        <v>USD</v>
      </c>
      <c r="D48">
        <v>0</v>
      </c>
      <c r="E48">
        <v>0</v>
      </c>
      <c r="F48" t="str">
        <v>CBOE Interest Rate 10 Year</v>
      </c>
      <c r="G48" t="str">
        <v>yfinance</v>
      </c>
      <c r="H48" t="str">
        <v>^TNX</v>
      </c>
      <c r="I48" t="str">
        <v>normal</v>
      </c>
      <c r="J48">
        <v>-0.01</v>
      </c>
    </row>
    <row r="49" spans="1:10" x14ac:dyDescent="0.25">
      <c r="A49" t="str">
        <v>SHY</v>
      </c>
      <c r="B49" t="str">
        <v>Rates</v>
      </c>
      <c r="C49" t="str">
        <v>USD</v>
      </c>
      <c r="D49">
        <v>0</v>
      </c>
      <c r="E49">
        <v>0</v>
      </c>
      <c r="F49" t="str">
        <v>1-3 Year Treasury</v>
      </c>
      <c r="G49" t="str">
        <v>yfinance</v>
      </c>
      <c r="H49" t="str">
        <v>SHY</v>
      </c>
      <c r="I49" t="str">
        <v>lognormal</v>
      </c>
      <c r="J49">
        <v>1E-4</v>
      </c>
    </row>
    <row r="50" spans="1:10" x14ac:dyDescent="0.25">
      <c r="A50" t="str">
        <v>IEI</v>
      </c>
      <c r="B50" t="str">
        <v>Rates</v>
      </c>
      <c r="C50" t="str">
        <v>USD</v>
      </c>
      <c r="D50">
        <v>0</v>
      </c>
      <c r="E50">
        <v>0</v>
      </c>
      <c r="F50" t="str">
        <v>3-7 Year Treasury</v>
      </c>
      <c r="G50" t="str">
        <v>yfinance</v>
      </c>
      <c r="H50" t="str">
        <v>IEI</v>
      </c>
      <c r="I50" t="str">
        <v>lognormal</v>
      </c>
      <c r="J50">
        <v>1E-4</v>
      </c>
    </row>
    <row r="51" spans="1:10" x14ac:dyDescent="0.25">
      <c r="A51" t="str">
        <v>IEF</v>
      </c>
      <c r="B51" t="str">
        <v>Rates</v>
      </c>
      <c r="C51" t="str">
        <v>USD</v>
      </c>
      <c r="D51">
        <v>1</v>
      </c>
      <c r="E51">
        <v>0</v>
      </c>
      <c r="F51" t="str">
        <v>7-10 Year Treasury</v>
      </c>
      <c r="G51" t="str">
        <v>yfinance</v>
      </c>
      <c r="H51" t="str">
        <v>IEF</v>
      </c>
      <c r="I51" t="str">
        <v>lognormal</v>
      </c>
      <c r="J51">
        <v>1E-4</v>
      </c>
    </row>
    <row r="52" spans="1:10" x14ac:dyDescent="0.25">
      <c r="A52" t="str">
        <v>TLT</v>
      </c>
      <c r="B52" t="str">
        <v>Rates</v>
      </c>
      <c r="C52" t="str">
        <v>USD</v>
      </c>
      <c r="D52">
        <v>0</v>
      </c>
      <c r="E52">
        <v>0</v>
      </c>
      <c r="F52" t="str">
        <v>20+ Year Treasury</v>
      </c>
      <c r="G52" t="str">
        <v>yfinance</v>
      </c>
      <c r="H52" t="str">
        <v>TLT</v>
      </c>
      <c r="I52" t="str">
        <v>lognormal</v>
      </c>
      <c r="J52">
        <v>1E-4</v>
      </c>
    </row>
    <row r="53" spans="1:10" x14ac:dyDescent="0.25">
      <c r="A53" t="str">
        <v>TIP</v>
      </c>
      <c r="B53" t="str">
        <v>Rates</v>
      </c>
      <c r="C53" t="str">
        <v>USD</v>
      </c>
      <c r="D53">
        <v>0</v>
      </c>
      <c r="E53">
        <v>0</v>
      </c>
      <c r="F53" t="str">
        <v>iShares TIPS Bond ETF</v>
      </c>
      <c r="G53" t="str">
        <v>yfinance</v>
      </c>
      <c r="H53" t="str">
        <v>TIP</v>
      </c>
      <c r="I53" t="str">
        <v>lognormal</v>
      </c>
      <c r="J53">
        <v>1E-4</v>
      </c>
    </row>
    <row r="54" spans="1:10" x14ac:dyDescent="0.25">
      <c r="A54" t="str">
        <v>VTIP</v>
      </c>
      <c r="B54" t="str">
        <v>Rates</v>
      </c>
      <c r="C54" t="str">
        <v>USD</v>
      </c>
      <c r="D54">
        <v>0</v>
      </c>
      <c r="E54">
        <v>0</v>
      </c>
      <c r="F54" t="str">
        <v>Short-Term Inflation-Protected Securities ETF</v>
      </c>
      <c r="G54" t="str">
        <v>yfinance</v>
      </c>
      <c r="H54" t="str">
        <v>VTIP</v>
      </c>
      <c r="I54" t="str">
        <v>lognormal</v>
      </c>
      <c r="J54">
        <v>1E-4</v>
      </c>
    </row>
    <row r="55" spans="1:10" x14ac:dyDescent="0.25">
      <c r="A55" t="str">
        <v>AGNC</v>
      </c>
      <c r="B55" t="str">
        <v>Rates</v>
      </c>
      <c r="C55" t="str">
        <v>USD</v>
      </c>
      <c r="D55">
        <v>0</v>
      </c>
      <c r="E55">
        <v>0</v>
      </c>
      <c r="F55" t="str">
        <v>AGNC Investment Corp.</v>
      </c>
      <c r="G55" t="str">
        <v>yfinance</v>
      </c>
      <c r="H55" t="str">
        <v>AGNC</v>
      </c>
      <c r="I55" t="str">
        <v>lognormal</v>
      </c>
      <c r="J55">
        <v>1E-4</v>
      </c>
    </row>
    <row r="56" spans="1:10" x14ac:dyDescent="0.25">
      <c r="A56" t="str">
        <v>VMBS</v>
      </c>
      <c r="B56" t="str">
        <v>Rates</v>
      </c>
      <c r="C56" t="str">
        <v>USD</v>
      </c>
      <c r="D56">
        <v>0</v>
      </c>
      <c r="E56">
        <v>0</v>
      </c>
      <c r="F56" t="str">
        <v>Mortgage-Backed Securities ETF</v>
      </c>
      <c r="G56" t="str">
        <v>yfinance</v>
      </c>
      <c r="H56" t="str">
        <v>VMBS</v>
      </c>
      <c r="I56" t="str">
        <v>lognormal</v>
      </c>
      <c r="J56">
        <v>1E-4</v>
      </c>
    </row>
    <row r="57" spans="1:10" x14ac:dyDescent="0.25">
      <c r="A57" t="str">
        <v>CMBS</v>
      </c>
      <c r="B57" t="str">
        <v>Rates</v>
      </c>
      <c r="C57" t="str">
        <v>USD</v>
      </c>
      <c r="D57">
        <v>0</v>
      </c>
      <c r="E57">
        <v>0</v>
      </c>
      <c r="F57" t="str">
        <v>iShares CMBS ETF</v>
      </c>
      <c r="G57" t="str">
        <v>yfinance</v>
      </c>
      <c r="H57" t="str">
        <v>CMBS</v>
      </c>
      <c r="I57" t="str">
        <v>lognormal</v>
      </c>
      <c r="J57">
        <v>1E-4</v>
      </c>
    </row>
    <row r="58" spans="1:10" x14ac:dyDescent="0.25">
      <c r="A58" t="str">
        <v>EMB</v>
      </c>
      <c r="B58" t="str">
        <v>Rates</v>
      </c>
      <c r="C58" t="str">
        <v>EM</v>
      </c>
      <c r="D58">
        <v>0</v>
      </c>
      <c r="E58">
        <v>0</v>
      </c>
      <c r="F58" t="str">
        <v>iShares J.P. Morgan USD Emerging Markets Bond ETF</v>
      </c>
      <c r="G58" t="str">
        <v>yfinance</v>
      </c>
      <c r="H58" t="str">
        <v>EMB</v>
      </c>
      <c r="I58" t="str">
        <v>lognormal</v>
      </c>
      <c r="J58">
        <v>1E-4</v>
      </c>
    </row>
    <row r="59" spans="1:10" x14ac:dyDescent="0.25">
      <c r="A59" t="str">
        <v>GLD</v>
      </c>
      <c r="B59" t="str">
        <v>Commodities</v>
      </c>
      <c r="C59" t="str">
        <v>USD</v>
      </c>
      <c r="D59">
        <v>0</v>
      </c>
      <c r="E59">
        <v>0</v>
      </c>
      <c r="F59" t="str">
        <v>SPDR Gold Shares</v>
      </c>
      <c r="G59" t="str">
        <v>yfinance</v>
      </c>
      <c r="H59" t="str">
        <v>GLD</v>
      </c>
      <c r="I59" t="str">
        <v>lognormal</v>
      </c>
      <c r="J59">
        <v>1E-4</v>
      </c>
    </row>
    <row r="60" spans="1:10" x14ac:dyDescent="0.25">
      <c r="A60" t="str">
        <v>SLV</v>
      </c>
      <c r="B60" t="str">
        <v>Commodities</v>
      </c>
      <c r="C60" t="str">
        <v>USD</v>
      </c>
      <c r="D60">
        <v>0</v>
      </c>
      <c r="E60">
        <v>0</v>
      </c>
      <c r="F60" t="str">
        <v>iShares Silver Trust</v>
      </c>
      <c r="G60" t="str">
        <v>yfinance</v>
      </c>
      <c r="H60" t="str">
        <v>SLV</v>
      </c>
      <c r="I60" t="str">
        <v>lognormal</v>
      </c>
      <c r="J60">
        <v>1E-4</v>
      </c>
    </row>
    <row r="61" spans="1:10" x14ac:dyDescent="0.25">
      <c r="A61" t="str">
        <v>USO</v>
      </c>
      <c r="B61" t="str">
        <v>Commodities</v>
      </c>
      <c r="C61" t="str">
        <v>USD</v>
      </c>
      <c r="D61">
        <v>0</v>
      </c>
      <c r="E61">
        <v>0</v>
      </c>
      <c r="F61" t="str">
        <v>United States Oil Fund</v>
      </c>
      <c r="G61" t="str">
        <v>yfinance</v>
      </c>
      <c r="H61" t="str">
        <v>USO</v>
      </c>
      <c r="I61" t="str">
        <v>lognormal</v>
      </c>
      <c r="J61">
        <v>1E-4</v>
      </c>
    </row>
    <row r="62" spans="1:10" x14ac:dyDescent="0.25">
      <c r="A62" t="str">
        <v>UUP</v>
      </c>
      <c r="B62" t="str">
        <v>Currencies</v>
      </c>
      <c r="C62" t="str">
        <v>USD</v>
      </c>
      <c r="D62">
        <v>0</v>
      </c>
      <c r="E62">
        <v>0</v>
      </c>
      <c r="F62" t="str">
        <v>Invesco DB US Dollar Index Bullish Fund</v>
      </c>
      <c r="G62" t="str">
        <v>yfinance</v>
      </c>
      <c r="H62" t="str">
        <v>UUP</v>
      </c>
      <c r="I62" t="str">
        <v>lognormal</v>
      </c>
      <c r="J62">
        <v>1E-4</v>
      </c>
    </row>
    <row r="63" spans="1:10" x14ac:dyDescent="0.25">
      <c r="A63" t="str">
        <v>DX-Y.NYB</v>
      </c>
      <c r="B63" t="str">
        <v>Currencies</v>
      </c>
      <c r="C63" t="str">
        <v>USD</v>
      </c>
      <c r="D63">
        <v>0</v>
      </c>
      <c r="E63">
        <v>0</v>
      </c>
      <c r="F63" t="str">
        <v>U.S. Dollar Index</v>
      </c>
      <c r="G63" t="str">
        <v>yfinance</v>
      </c>
      <c r="H63" t="str">
        <v>DX-Y.NYB</v>
      </c>
      <c r="I63" t="str">
        <v>lognormal</v>
      </c>
      <c r="J63">
        <v>1E-4</v>
      </c>
    </row>
    <row r="64" spans="1:10" x14ac:dyDescent="0.25">
      <c r="A64" t="str">
        <v>FXE</v>
      </c>
      <c r="B64" t="str">
        <v>Currencies</v>
      </c>
      <c r="C64" t="str">
        <v>EUR</v>
      </c>
      <c r="D64">
        <v>0</v>
      </c>
      <c r="E64">
        <v>0</v>
      </c>
      <c r="F64" t="str">
        <v>Invesco CurrencyShares Euro Trust</v>
      </c>
      <c r="G64" t="str">
        <v>yfinance</v>
      </c>
      <c r="H64" t="str">
        <v>FXE</v>
      </c>
      <c r="I64" t="str">
        <v>lognormal</v>
      </c>
      <c r="J64">
        <v>1E-4</v>
      </c>
    </row>
    <row r="65" spans="1:10" x14ac:dyDescent="0.25">
      <c r="A65" t="str">
        <v>FXF</v>
      </c>
      <c r="B65" t="str">
        <v>Currencies</v>
      </c>
      <c r="C65" t="str">
        <v>EUR</v>
      </c>
      <c r="D65">
        <v>0</v>
      </c>
      <c r="E65">
        <v>0</v>
      </c>
      <c r="F65" t="str">
        <v>Invesco CurrencyShares Swiss Franc Trust</v>
      </c>
      <c r="G65" t="str">
        <v>yfinance</v>
      </c>
      <c r="H65" t="str">
        <v>FXF</v>
      </c>
      <c r="I65" t="str">
        <v>lognormal</v>
      </c>
      <c r="J65">
        <v>1E-4</v>
      </c>
    </row>
    <row r="66" spans="1:10" x14ac:dyDescent="0.25">
      <c r="A66" t="str">
        <v>FXA</v>
      </c>
      <c r="B66" t="str">
        <v>Currencies</v>
      </c>
      <c r="C66" t="str">
        <v>Commod</v>
      </c>
      <c r="D66">
        <v>0</v>
      </c>
      <c r="E66">
        <v>0</v>
      </c>
      <c r="F66" t="str">
        <v>Invesco CurrencyShares Australian Dollar Trust</v>
      </c>
      <c r="G66" t="str">
        <v>yfinance</v>
      </c>
      <c r="H66" t="str">
        <v>FXA</v>
      </c>
      <c r="I66" t="str">
        <v>lognormal</v>
      </c>
      <c r="J66">
        <v>1E-4</v>
      </c>
    </row>
    <row r="67" spans="1:10" x14ac:dyDescent="0.25">
      <c r="A67" t="str">
        <v>FXB</v>
      </c>
      <c r="B67" t="str">
        <v>Currencies</v>
      </c>
      <c r="C67" t="str">
        <v>GBP</v>
      </c>
      <c r="D67">
        <v>0</v>
      </c>
      <c r="E67">
        <v>0</v>
      </c>
      <c r="F67" t="str">
        <v>Invesco CurrencyShares British Pound Sterling Trust</v>
      </c>
      <c r="G67" t="str">
        <v>yfinance</v>
      </c>
      <c r="H67" t="str">
        <v>FXB</v>
      </c>
      <c r="I67" t="str">
        <v>lognormal</v>
      </c>
      <c r="J67">
        <v>1E-4</v>
      </c>
    </row>
    <row r="68" spans="1:10" x14ac:dyDescent="0.25">
      <c r="A68" t="str">
        <v>FXC</v>
      </c>
      <c r="B68" t="str">
        <v>Currencies</v>
      </c>
      <c r="C68" t="str">
        <v>USD</v>
      </c>
      <c r="D68">
        <v>0</v>
      </c>
      <c r="E68">
        <v>0</v>
      </c>
      <c r="F68" t="str">
        <v>Invesco CurrencyShares Canadian Dollar Trust</v>
      </c>
      <c r="G68" t="str">
        <v>yfinance</v>
      </c>
      <c r="H68" t="str">
        <v>FXC</v>
      </c>
      <c r="I68" t="str">
        <v>lognormal</v>
      </c>
      <c r="J68">
        <v>1E-4</v>
      </c>
    </row>
    <row r="69" spans="1:10" x14ac:dyDescent="0.25">
      <c r="A69" t="str">
        <v>FXY</v>
      </c>
      <c r="B69" t="str">
        <v>Currencies</v>
      </c>
      <c r="C69" t="str">
        <v>JPY</v>
      </c>
      <c r="D69">
        <v>0</v>
      </c>
      <c r="E69">
        <v>0</v>
      </c>
      <c r="F69" t="str">
        <v>Invesco CurrencyShares Japanese Yen Trust</v>
      </c>
      <c r="G69" t="str">
        <v>yfinance</v>
      </c>
      <c r="H69" t="str">
        <v>FXY</v>
      </c>
      <c r="I69" t="str">
        <v>lognormal</v>
      </c>
      <c r="J69">
        <v>1E-4</v>
      </c>
    </row>
    <row r="70" spans="1:10" x14ac:dyDescent="0.25">
      <c r="A70" t="str">
        <v>^VIX</v>
      </c>
      <c r="B70" t="str">
        <v>Vol</v>
      </c>
      <c r="C70" t="str">
        <v>USD</v>
      </c>
      <c r="D70">
        <v>0</v>
      </c>
      <c r="E70">
        <v>0</v>
      </c>
      <c r="F70" t="str">
        <v>CBOE Volatility Index</v>
      </c>
      <c r="G70" t="str">
        <v>yfinance</v>
      </c>
      <c r="H70" t="str">
        <v>^VIX</v>
      </c>
      <c r="I70" t="str">
        <v>normal</v>
      </c>
      <c r="J70">
        <v>-0.01</v>
      </c>
    </row>
    <row r="71" spans="1:10" x14ac:dyDescent="0.25">
      <c r="A71" t="str">
        <v>VXX</v>
      </c>
      <c r="B71" t="str">
        <v>Vol</v>
      </c>
      <c r="C71" t="str">
        <v>USD</v>
      </c>
      <c r="D71">
        <v>0</v>
      </c>
      <c r="E71">
        <v>0</v>
      </c>
      <c r="F71" t="str">
        <v>VIX Short-Term Futures ETN</v>
      </c>
      <c r="G71" t="str">
        <v>yfinance</v>
      </c>
      <c r="H71" t="str">
        <v>VXX</v>
      </c>
      <c r="I71" t="str">
        <v>normal</v>
      </c>
      <c r="J71">
        <v>-0.01</v>
      </c>
    </row>
    <row r="72" spans="1:10" x14ac:dyDescent="0.25">
      <c r="A72" t="str">
        <v>^VIX3M</v>
      </c>
      <c r="B72" t="str">
        <v>Vol</v>
      </c>
      <c r="C72" t="str">
        <v>USD</v>
      </c>
      <c r="D72">
        <v>0</v>
      </c>
      <c r="E72">
        <v>0</v>
      </c>
      <c r="F72" t="str">
        <v>CBOE S&amp;P 500 3-Month Volatility</v>
      </c>
      <c r="G72" t="str">
        <v>yfinance</v>
      </c>
      <c r="H72" t="str">
        <v>^VIX3M</v>
      </c>
      <c r="I72" t="str">
        <v>normal</v>
      </c>
      <c r="J72">
        <v>-0.01</v>
      </c>
    </row>
    <row r="73" spans="1:10" x14ac:dyDescent="0.25">
      <c r="A73" t="str">
        <v>^MOVE</v>
      </c>
      <c r="B73" t="str">
        <v>Vol</v>
      </c>
      <c r="C73" t="str">
        <v>USD</v>
      </c>
      <c r="D73">
        <v>0</v>
      </c>
      <c r="E73">
        <v>0</v>
      </c>
      <c r="F73" t="str">
        <v>ICE BofAML MOVE Index</v>
      </c>
      <c r="G73" t="str">
        <v>yfinance</v>
      </c>
      <c r="H73" t="str">
        <v>^MOVE</v>
      </c>
      <c r="I73" t="str">
        <v>normal</v>
      </c>
      <c r="J73">
        <v>-0.01</v>
      </c>
    </row>
    <row r="74" spans="1:10" x14ac:dyDescent="0.25">
      <c r="A74" t="str">
        <v>^OVX</v>
      </c>
      <c r="B74" t="str">
        <v>Vol</v>
      </c>
      <c r="C74" t="str">
        <v>USD</v>
      </c>
      <c r="D74">
        <v>0</v>
      </c>
      <c r="E74">
        <v>0</v>
      </c>
      <c r="F74" t="str">
        <v>CBOE Crude Oil Volatility Index</v>
      </c>
      <c r="G74" t="str">
        <v>yfinance</v>
      </c>
      <c r="H74" t="str">
        <v>^OVX</v>
      </c>
      <c r="I74" t="str">
        <v>normal</v>
      </c>
      <c r="J74">
        <v>-0.01</v>
      </c>
    </row>
    <row r="75" spans="1:10" x14ac:dyDescent="0.25">
      <c r="A75" t="str">
        <v>^GVZ</v>
      </c>
      <c r="B75" t="str">
        <v>Vol</v>
      </c>
      <c r="C75" t="str">
        <v>USD</v>
      </c>
      <c r="D75">
        <v>0</v>
      </c>
      <c r="E75">
        <v>0</v>
      </c>
      <c r="F75" t="str">
        <v>CBOE Gold Volatility Index</v>
      </c>
      <c r="G75" t="str">
        <v>yfinance</v>
      </c>
      <c r="H75" t="str">
        <v>^GVZ</v>
      </c>
      <c r="I75" t="str">
        <v>normal</v>
      </c>
      <c r="J75">
        <v>-0.01</v>
      </c>
    </row>
    <row r="76" spans="1:10" x14ac:dyDescent="0.25">
      <c r="A76" t="str">
        <v>MWTIX</v>
      </c>
      <c r="B76" t="str">
        <v>Portfolio</v>
      </c>
      <c r="C76" t="str">
        <v>USD</v>
      </c>
      <c r="D76">
        <v>1</v>
      </c>
      <c r="E76">
        <v>0</v>
      </c>
      <c r="F76" t="str">
        <v>TCW MetWest Total Return Bd I</v>
      </c>
      <c r="G76" t="str">
        <v>yfinance</v>
      </c>
      <c r="H76" t="str">
        <v>MWTIX</v>
      </c>
      <c r="I76" t="str">
        <v>lognormal</v>
      </c>
      <c r="J76">
        <v>1E-4</v>
      </c>
    </row>
    <row r="77" spans="1:10" x14ac:dyDescent="0.25">
      <c r="A77" t="str">
        <v>FCNTX</v>
      </c>
      <c r="B77" t="str">
        <v>Portfolio</v>
      </c>
      <c r="C77" t="str">
        <v>USD</v>
      </c>
      <c r="D77">
        <v>0</v>
      </c>
      <c r="E77">
        <v>0</v>
      </c>
      <c r="F77" t="str">
        <v>Fidelity Contrafund</v>
      </c>
      <c r="G77" t="str">
        <v>yfinance</v>
      </c>
      <c r="H77" t="str">
        <v>FCNTX</v>
      </c>
      <c r="I77" t="str">
        <v>lognormal</v>
      </c>
      <c r="J77">
        <v>1E-4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8"/>
  <sheetViews>
    <sheetView showGridLines="0" workbookViewId="0">
      <pane xSplit="1" ySplit="1" topLeftCell="B2" activePane="bottomRight" state="frozen"/>
      <selection pane="topRight" activeCell="B1" sqref="B1"/>
      <selection pane="bottomLeft" activeCell="A2" sqref="A2"/>
      <selection pane="bottomRight" activeCell="A2" sqref="A2"/>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8">_xlfn._xlws.FILTER(data[factor_name],data[Active]*(data[client]=0))</f>
        <v>SPY</v>
      </c>
      <c r="B2" t="str" cm="1">
        <f t="array" ref="B2:J88">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IWN</v>
      </c>
      <c r="B28" t="str">
        <v>Equities</v>
      </c>
      <c r="C28" t="str">
        <v>USD</v>
      </c>
      <c r="D28">
        <v>0</v>
      </c>
      <c r="E28">
        <v>0</v>
      </c>
      <c r="F28" t="str">
        <v>Value</v>
      </c>
      <c r="G28" t="str">
        <v>yfinance</v>
      </c>
      <c r="H28" t="str">
        <v>IWN</v>
      </c>
      <c r="I28" t="str">
        <v>lognormal</v>
      </c>
      <c r="J28">
        <v>1E-4</v>
      </c>
    </row>
    <row r="29" spans="1:10" x14ac:dyDescent="0.25">
      <c r="A29" t="str">
        <v>IWO</v>
      </c>
      <c r="B29" t="str">
        <v>Equities</v>
      </c>
      <c r="C29" t="str">
        <v>USD</v>
      </c>
      <c r="D29">
        <v>0</v>
      </c>
      <c r="E29">
        <v>0</v>
      </c>
      <c r="F29" t="str">
        <v>Growth</v>
      </c>
      <c r="G29" t="str">
        <v>yfinance</v>
      </c>
      <c r="H29" t="str">
        <v>IWO</v>
      </c>
      <c r="I29" t="str">
        <v>lognormal</v>
      </c>
      <c r="J29">
        <v>1E-4</v>
      </c>
    </row>
    <row r="30" spans="1:10" x14ac:dyDescent="0.25">
      <c r="A30" t="str">
        <v>MTUM</v>
      </c>
      <c r="B30" t="str">
        <v>Equities</v>
      </c>
      <c r="C30" t="str">
        <v>USD</v>
      </c>
      <c r="D30">
        <v>0</v>
      </c>
      <c r="E30">
        <v>0</v>
      </c>
      <c r="F30" t="str">
        <v>Momentum</v>
      </c>
      <c r="G30" t="str">
        <v>yfinance</v>
      </c>
      <c r="H30" t="str">
        <v>MTUM</v>
      </c>
      <c r="I30" t="str">
        <v>lognormal</v>
      </c>
      <c r="J30">
        <v>1E-4</v>
      </c>
    </row>
    <row r="31" spans="1:10" x14ac:dyDescent="0.25">
      <c r="A31" t="str">
        <v>FEZ</v>
      </c>
      <c r="B31" t="str">
        <v>Equities</v>
      </c>
      <c r="C31" t="str">
        <v>USD</v>
      </c>
      <c r="D31">
        <v>0</v>
      </c>
      <c r="E31">
        <v>0</v>
      </c>
      <c r="F31" t="str">
        <v>Eurostoxx 50</v>
      </c>
      <c r="G31" t="str">
        <v>yfinance</v>
      </c>
      <c r="H31" t="str">
        <v>FEZ</v>
      </c>
      <c r="I31" t="str">
        <v>lognormal</v>
      </c>
      <c r="J31">
        <v>1E-4</v>
      </c>
    </row>
    <row r="32" spans="1:10" x14ac:dyDescent="0.25">
      <c r="A32" t="str">
        <v>EWU</v>
      </c>
      <c r="B32" t="str">
        <v>Equities</v>
      </c>
      <c r="C32" t="str">
        <v>GBP</v>
      </c>
      <c r="D32">
        <v>0</v>
      </c>
      <c r="E32">
        <v>0</v>
      </c>
      <c r="F32" t="str">
        <v>FTSE 100</v>
      </c>
      <c r="G32" t="str">
        <v>yfinance</v>
      </c>
      <c r="H32" t="str">
        <v>EWU</v>
      </c>
      <c r="I32" t="str">
        <v>lognormal</v>
      </c>
      <c r="J32">
        <v>1E-4</v>
      </c>
    </row>
    <row r="33" spans="1:10" x14ac:dyDescent="0.25">
      <c r="A33" t="str">
        <v>DAX</v>
      </c>
      <c r="B33" t="str">
        <v>Equities</v>
      </c>
      <c r="C33" t="str">
        <v>EUR</v>
      </c>
      <c r="D33">
        <v>0</v>
      </c>
      <c r="E33">
        <v>0</v>
      </c>
      <c r="F33" t="str">
        <v>DAX (Germany)</v>
      </c>
      <c r="G33" t="str">
        <v>yfinance</v>
      </c>
      <c r="H33" t="str">
        <v>DAX</v>
      </c>
      <c r="I33" t="str">
        <v>lognormal</v>
      </c>
      <c r="J33">
        <v>1E-4</v>
      </c>
    </row>
    <row r="34" spans="1:10" x14ac:dyDescent="0.25">
      <c r="A34" t="str">
        <v>EWC</v>
      </c>
      <c r="B34" t="str">
        <v>Equities</v>
      </c>
      <c r="C34" t="str">
        <v>CAD</v>
      </c>
      <c r="D34">
        <v>0</v>
      </c>
      <c r="E34">
        <v>0</v>
      </c>
      <c r="F34" t="str">
        <v>MSCI Canada</v>
      </c>
      <c r="G34" t="str">
        <v>yfinance</v>
      </c>
      <c r="H34" t="str">
        <v>EWC</v>
      </c>
      <c r="I34" t="str">
        <v>lognormal</v>
      </c>
      <c r="J34">
        <v>1E-4</v>
      </c>
    </row>
    <row r="35" spans="1:10" x14ac:dyDescent="0.25">
      <c r="A35" t="str">
        <v>EWI</v>
      </c>
      <c r="B35" t="str">
        <v>Equities</v>
      </c>
      <c r="C35" t="str">
        <v>EUR</v>
      </c>
      <c r="D35">
        <v>0</v>
      </c>
      <c r="E35">
        <v>0</v>
      </c>
      <c r="F35" t="str">
        <v>MSCI Italy</v>
      </c>
      <c r="G35" t="str">
        <v>yfinance</v>
      </c>
      <c r="H35" t="str">
        <v>EWI</v>
      </c>
      <c r="I35" t="str">
        <v>lognormal</v>
      </c>
      <c r="J35">
        <v>1E-4</v>
      </c>
    </row>
    <row r="36" spans="1:10" x14ac:dyDescent="0.25">
      <c r="A36" t="str">
        <v>^N225</v>
      </c>
      <c r="B36" t="str">
        <v>Equities</v>
      </c>
      <c r="C36" t="str">
        <v>JPY</v>
      </c>
      <c r="D36">
        <v>0</v>
      </c>
      <c r="E36">
        <v>0</v>
      </c>
      <c r="F36" t="str">
        <v>Nikkei 225</v>
      </c>
      <c r="G36" t="str">
        <v>yfinance</v>
      </c>
      <c r="H36" t="str">
        <v>^N225</v>
      </c>
      <c r="I36" t="str">
        <v>lognormal</v>
      </c>
      <c r="J36">
        <v>1E-4</v>
      </c>
    </row>
    <row r="37" spans="1:10" x14ac:dyDescent="0.25">
      <c r="A37" t="str">
        <v>FXI</v>
      </c>
      <c r="B37" t="str">
        <v>Equities</v>
      </c>
      <c r="C37" t="str">
        <v>CNH</v>
      </c>
      <c r="D37">
        <v>0</v>
      </c>
      <c r="E37">
        <v>0</v>
      </c>
      <c r="F37" t="str">
        <v>China Large-Cap</v>
      </c>
      <c r="G37" t="str">
        <v>yfinance</v>
      </c>
      <c r="H37" t="str">
        <v>FXI</v>
      </c>
      <c r="I37" t="str">
        <v>lognormal</v>
      </c>
      <c r="J37">
        <v>1E-4</v>
      </c>
    </row>
    <row r="38" spans="1:10" x14ac:dyDescent="0.25">
      <c r="A38" t="str">
        <v>ASHR</v>
      </c>
      <c r="B38" t="str">
        <v>Equities</v>
      </c>
      <c r="C38" t="str">
        <v>CNH</v>
      </c>
      <c r="D38">
        <v>0</v>
      </c>
      <c r="E38">
        <v>0</v>
      </c>
      <c r="F38" t="str">
        <v>CSI 300 (China)</v>
      </c>
      <c r="G38" t="str">
        <v>yfinance</v>
      </c>
      <c r="H38" t="str">
        <v>ASHR</v>
      </c>
      <c r="I38" t="str">
        <v>lognormal</v>
      </c>
      <c r="J38">
        <v>1E-4</v>
      </c>
    </row>
    <row r="39" spans="1:10" x14ac:dyDescent="0.25">
      <c r="A39" t="str">
        <v>KWEB</v>
      </c>
      <c r="B39" t="str">
        <v>Equities</v>
      </c>
      <c r="C39" t="str">
        <v>CNH</v>
      </c>
      <c r="D39">
        <v>0</v>
      </c>
      <c r="E39">
        <v>0</v>
      </c>
      <c r="F39" t="str">
        <v>CSI China Internet</v>
      </c>
      <c r="G39" t="str">
        <v>yfinance</v>
      </c>
      <c r="H39" t="str">
        <v>KWEB</v>
      </c>
      <c r="I39" t="str">
        <v>lognormal</v>
      </c>
      <c r="J39">
        <v>1E-4</v>
      </c>
    </row>
    <row r="40" spans="1:10" x14ac:dyDescent="0.25">
      <c r="A40" t="str">
        <v>EEM</v>
      </c>
      <c r="B40" t="str">
        <v>Equities</v>
      </c>
      <c r="C40" t="str">
        <v>EM</v>
      </c>
      <c r="D40">
        <v>0</v>
      </c>
      <c r="E40">
        <v>0</v>
      </c>
      <c r="F40" t="str">
        <v>MSCI EM</v>
      </c>
      <c r="G40" t="str">
        <v>yfinance</v>
      </c>
      <c r="H40" t="str">
        <v>EEM</v>
      </c>
      <c r="I40" t="str">
        <v>lognormal</v>
      </c>
      <c r="J40">
        <v>1E-4</v>
      </c>
    </row>
    <row r="41" spans="1:10" x14ac:dyDescent="0.25">
      <c r="A41" t="str">
        <v>LQD</v>
      </c>
      <c r="B41" t="str">
        <v>Credit</v>
      </c>
      <c r="C41" t="str">
        <v>USD</v>
      </c>
      <c r="D41">
        <v>0</v>
      </c>
      <c r="E41">
        <v>0</v>
      </c>
      <c r="F41" t="str">
        <v>iShares iBoxx $ Investment Grade Corporate Bond ETF</v>
      </c>
      <c r="G41" t="str">
        <v>yfinance</v>
      </c>
      <c r="H41" t="str">
        <v>LQD</v>
      </c>
      <c r="I41" t="str">
        <v>lognormal</v>
      </c>
      <c r="J41">
        <v>1E-4</v>
      </c>
    </row>
    <row r="42" spans="1:10" x14ac:dyDescent="0.25">
      <c r="A42" t="str">
        <v>BSV</v>
      </c>
      <c r="B42" t="str">
        <v>Credit</v>
      </c>
      <c r="C42" t="str">
        <v>USD</v>
      </c>
      <c r="D42">
        <v>0</v>
      </c>
      <c r="E42">
        <v>0</v>
      </c>
      <c r="F42" t="str">
        <v>Vanguard Short-Term Bond Index Fund ETF</v>
      </c>
      <c r="G42" t="str">
        <v>yfinance</v>
      </c>
      <c r="H42" t="str">
        <v>BSV</v>
      </c>
      <c r="I42" t="str">
        <v>lognormal</v>
      </c>
      <c r="J42">
        <v>1E-4</v>
      </c>
    </row>
    <row r="43" spans="1:10" x14ac:dyDescent="0.25">
      <c r="A43" t="str">
        <v>HYG</v>
      </c>
      <c r="B43" t="str">
        <v>Credit</v>
      </c>
      <c r="C43" t="str">
        <v>USD</v>
      </c>
      <c r="D43">
        <v>0</v>
      </c>
      <c r="E43">
        <v>0</v>
      </c>
      <c r="F43" t="str">
        <v>iShares iBoxx $ High Yield Corporate Bond ETF</v>
      </c>
      <c r="G43" t="str">
        <v>yfinance</v>
      </c>
      <c r="H43" t="str">
        <v>HYG</v>
      </c>
      <c r="I43" t="str">
        <v>lognormal</v>
      </c>
      <c r="J43">
        <v>1E-4</v>
      </c>
    </row>
    <row r="44" spans="1:10" x14ac:dyDescent="0.25">
      <c r="A44" t="str">
        <v>LQDH</v>
      </c>
      <c r="B44" t="str">
        <v>Credit</v>
      </c>
      <c r="C44" t="str">
        <v>USD</v>
      </c>
      <c r="D44">
        <v>1</v>
      </c>
      <c r="E44">
        <v>0</v>
      </c>
      <c r="F44" t="str">
        <v>Hedged LQD</v>
      </c>
      <c r="G44" t="str">
        <v>yfinance</v>
      </c>
      <c r="H44" t="str">
        <v>LQDH</v>
      </c>
      <c r="I44" t="str">
        <v>lognormal</v>
      </c>
      <c r="J44">
        <v>1E-4</v>
      </c>
    </row>
    <row r="45" spans="1:10" x14ac:dyDescent="0.25">
      <c r="A45" t="str">
        <v>HYGH</v>
      </c>
      <c r="B45" t="str">
        <v>Credit</v>
      </c>
      <c r="C45" t="str">
        <v>USD</v>
      </c>
      <c r="D45">
        <v>0</v>
      </c>
      <c r="E45">
        <v>0</v>
      </c>
      <c r="F45" t="str">
        <v>Hedged HYG</v>
      </c>
      <c r="G45" t="str">
        <v>yfinance</v>
      </c>
      <c r="H45" t="str">
        <v>HYGH</v>
      </c>
      <c r="I45" t="str">
        <v>lognormal</v>
      </c>
      <c r="J45">
        <v>1E-4</v>
      </c>
    </row>
    <row r="46" spans="1:10" x14ac:dyDescent="0.25">
      <c r="A46" t="str">
        <v>BKLN</v>
      </c>
      <c r="B46" t="str">
        <v>Credit</v>
      </c>
      <c r="C46" t="str">
        <v>USD</v>
      </c>
      <c r="D46">
        <v>0</v>
      </c>
      <c r="E46">
        <v>0</v>
      </c>
      <c r="F46" t="str">
        <v>Bank Loans</v>
      </c>
      <c r="G46" t="str">
        <v>yfinance</v>
      </c>
      <c r="H46" t="str">
        <v>BKLN</v>
      </c>
      <c r="I46" t="str">
        <v>lognormal</v>
      </c>
      <c r="J46">
        <v>1E-4</v>
      </c>
    </row>
    <row r="47" spans="1:10" x14ac:dyDescent="0.25">
      <c r="A47" t="str">
        <v>AGG</v>
      </c>
      <c r="B47" t="str">
        <v>Credit</v>
      </c>
      <c r="C47" t="str">
        <v>USD</v>
      </c>
      <c r="D47">
        <v>0</v>
      </c>
      <c r="E47">
        <v>0</v>
      </c>
      <c r="F47" t="str">
        <v>US Agg</v>
      </c>
      <c r="G47" t="str">
        <v>yfinance</v>
      </c>
      <c r="H47" t="str">
        <v>AGG</v>
      </c>
      <c r="I47" t="str">
        <v>lognormal</v>
      </c>
      <c r="J47">
        <v>1E-4</v>
      </c>
    </row>
    <row r="48" spans="1:10" x14ac:dyDescent="0.25">
      <c r="A48" t="str">
        <v>^TNX</v>
      </c>
      <c r="B48" t="str">
        <v>Rates</v>
      </c>
      <c r="C48" t="str">
        <v>USD</v>
      </c>
      <c r="D48">
        <v>0</v>
      </c>
      <c r="E48">
        <v>0</v>
      </c>
      <c r="F48" t="str">
        <v>CBOE Interest Rate 10 Year</v>
      </c>
      <c r="G48" t="str">
        <v>yfinance</v>
      </c>
      <c r="H48" t="str">
        <v>^TNX</v>
      </c>
      <c r="I48" t="str">
        <v>normal</v>
      </c>
      <c r="J48">
        <v>-0.01</v>
      </c>
    </row>
    <row r="49" spans="1:10" x14ac:dyDescent="0.25">
      <c r="A49" t="str">
        <v>SHY</v>
      </c>
      <c r="B49" t="str">
        <v>Rates</v>
      </c>
      <c r="C49" t="str">
        <v>USD</v>
      </c>
      <c r="D49">
        <v>0</v>
      </c>
      <c r="E49">
        <v>0</v>
      </c>
      <c r="F49" t="str">
        <v>1-3 Year Treasury</v>
      </c>
      <c r="G49" t="str">
        <v>yfinance</v>
      </c>
      <c r="H49" t="str">
        <v>SHY</v>
      </c>
      <c r="I49" t="str">
        <v>lognormal</v>
      </c>
      <c r="J49">
        <v>1E-4</v>
      </c>
    </row>
    <row r="50" spans="1:10" x14ac:dyDescent="0.25">
      <c r="A50" t="str">
        <v>IEI</v>
      </c>
      <c r="B50" t="str">
        <v>Rates</v>
      </c>
      <c r="C50" t="str">
        <v>USD</v>
      </c>
      <c r="D50">
        <v>0</v>
      </c>
      <c r="E50">
        <v>0</v>
      </c>
      <c r="F50" t="str">
        <v>3-7 Year Treasury</v>
      </c>
      <c r="G50" t="str">
        <v>yfinance</v>
      </c>
      <c r="H50" t="str">
        <v>IEI</v>
      </c>
      <c r="I50" t="str">
        <v>lognormal</v>
      </c>
      <c r="J50">
        <v>1E-4</v>
      </c>
    </row>
    <row r="51" spans="1:10" x14ac:dyDescent="0.25">
      <c r="A51" t="str">
        <v>IEF</v>
      </c>
      <c r="B51" t="str">
        <v>Rates</v>
      </c>
      <c r="C51" t="str">
        <v>USD</v>
      </c>
      <c r="D51">
        <v>1</v>
      </c>
      <c r="E51">
        <v>0</v>
      </c>
      <c r="F51" t="str">
        <v>7-10 Year Treasury</v>
      </c>
      <c r="G51" t="str">
        <v>yfinance</v>
      </c>
      <c r="H51" t="str">
        <v>IEF</v>
      </c>
      <c r="I51" t="str">
        <v>lognormal</v>
      </c>
      <c r="J51">
        <v>1E-4</v>
      </c>
    </row>
    <row r="52" spans="1:10" x14ac:dyDescent="0.25">
      <c r="A52" t="str">
        <v>TLT</v>
      </c>
      <c r="B52" t="str">
        <v>Rates</v>
      </c>
      <c r="C52" t="str">
        <v>USD</v>
      </c>
      <c r="D52">
        <v>0</v>
      </c>
      <c r="E52">
        <v>0</v>
      </c>
      <c r="F52" t="str">
        <v>20+ Year Treasury</v>
      </c>
      <c r="G52" t="str">
        <v>yfinance</v>
      </c>
      <c r="H52" t="str">
        <v>TLT</v>
      </c>
      <c r="I52" t="str">
        <v>lognormal</v>
      </c>
      <c r="J52">
        <v>1E-4</v>
      </c>
    </row>
    <row r="53" spans="1:10" x14ac:dyDescent="0.25">
      <c r="A53" t="str">
        <v>TIP</v>
      </c>
      <c r="B53" t="str">
        <v>Rates</v>
      </c>
      <c r="C53" t="str">
        <v>USD</v>
      </c>
      <c r="D53">
        <v>0</v>
      </c>
      <c r="E53">
        <v>0</v>
      </c>
      <c r="F53" t="str">
        <v>iShares TIPS Bond ETF</v>
      </c>
      <c r="G53" t="str">
        <v>yfinance</v>
      </c>
      <c r="H53" t="str">
        <v>TIP</v>
      </c>
      <c r="I53" t="str">
        <v>lognormal</v>
      </c>
      <c r="J53">
        <v>1E-4</v>
      </c>
    </row>
    <row r="54" spans="1:10" x14ac:dyDescent="0.25">
      <c r="A54" t="str">
        <v>VTIP</v>
      </c>
      <c r="B54" t="str">
        <v>Rates</v>
      </c>
      <c r="C54" t="str">
        <v>USD</v>
      </c>
      <c r="D54">
        <v>0</v>
      </c>
      <c r="E54">
        <v>0</v>
      </c>
      <c r="F54" t="str">
        <v>Short-Term Inflation-Protected Securities ETF</v>
      </c>
      <c r="G54" t="str">
        <v>yfinance</v>
      </c>
      <c r="H54" t="str">
        <v>VTIP</v>
      </c>
      <c r="I54" t="str">
        <v>lognormal</v>
      </c>
      <c r="J54">
        <v>1E-4</v>
      </c>
    </row>
    <row r="55" spans="1:10" x14ac:dyDescent="0.25">
      <c r="A55" t="str">
        <v>AGNC</v>
      </c>
      <c r="B55" t="str">
        <v>Rates</v>
      </c>
      <c r="C55" t="str">
        <v>USD</v>
      </c>
      <c r="D55">
        <v>0</v>
      </c>
      <c r="E55">
        <v>0</v>
      </c>
      <c r="F55" t="str">
        <v>AGNC Investment Corp.</v>
      </c>
      <c r="G55" t="str">
        <v>yfinance</v>
      </c>
      <c r="H55" t="str">
        <v>AGNC</v>
      </c>
      <c r="I55" t="str">
        <v>lognormal</v>
      </c>
      <c r="J55">
        <v>1E-4</v>
      </c>
    </row>
    <row r="56" spans="1:10" x14ac:dyDescent="0.25">
      <c r="A56" t="str">
        <v>VMBS</v>
      </c>
      <c r="B56" t="str">
        <v>Rates</v>
      </c>
      <c r="C56" t="str">
        <v>USD</v>
      </c>
      <c r="D56">
        <v>0</v>
      </c>
      <c r="E56">
        <v>0</v>
      </c>
      <c r="F56" t="str">
        <v>Mortgage-Backed Securities ETF</v>
      </c>
      <c r="G56" t="str">
        <v>yfinance</v>
      </c>
      <c r="H56" t="str">
        <v>VMBS</v>
      </c>
      <c r="I56" t="str">
        <v>lognormal</v>
      </c>
      <c r="J56">
        <v>1E-4</v>
      </c>
    </row>
    <row r="57" spans="1:10" x14ac:dyDescent="0.25">
      <c r="A57" t="str">
        <v>CMBS</v>
      </c>
      <c r="B57" t="str">
        <v>Rates</v>
      </c>
      <c r="C57" t="str">
        <v>USD</v>
      </c>
      <c r="D57">
        <v>0</v>
      </c>
      <c r="E57">
        <v>0</v>
      </c>
      <c r="F57" t="str">
        <v>iShares CMBS ETF</v>
      </c>
      <c r="G57" t="str">
        <v>yfinance</v>
      </c>
      <c r="H57" t="str">
        <v>CMBS</v>
      </c>
      <c r="I57" t="str">
        <v>lognormal</v>
      </c>
      <c r="J57">
        <v>1E-4</v>
      </c>
    </row>
    <row r="58" spans="1:10" x14ac:dyDescent="0.25">
      <c r="A58" t="str">
        <v>EMB</v>
      </c>
      <c r="B58" t="str">
        <v>Rates</v>
      </c>
      <c r="C58" t="str">
        <v>EM</v>
      </c>
      <c r="D58">
        <v>0</v>
      </c>
      <c r="E58">
        <v>0</v>
      </c>
      <c r="F58" t="str">
        <v>iShares J.P. Morgan USD Emerging Markets Bond ETF</v>
      </c>
      <c r="G58" t="str">
        <v>yfinance</v>
      </c>
      <c r="H58" t="str">
        <v>EMB</v>
      </c>
      <c r="I58" t="str">
        <v>lognormal</v>
      </c>
      <c r="J58">
        <v>1E-4</v>
      </c>
    </row>
    <row r="59" spans="1:10" x14ac:dyDescent="0.25">
      <c r="A59" t="str">
        <v>GLD</v>
      </c>
      <c r="B59" t="str">
        <v>Commodities</v>
      </c>
      <c r="C59" t="str">
        <v>USD</v>
      </c>
      <c r="D59">
        <v>0</v>
      </c>
      <c r="E59">
        <v>0</v>
      </c>
      <c r="F59" t="str">
        <v>SPDR Gold Shares</v>
      </c>
      <c r="G59" t="str">
        <v>yfinance</v>
      </c>
      <c r="H59" t="str">
        <v>GLD</v>
      </c>
      <c r="I59" t="str">
        <v>lognormal</v>
      </c>
      <c r="J59">
        <v>1E-4</v>
      </c>
    </row>
    <row r="60" spans="1:10" x14ac:dyDescent="0.25">
      <c r="A60" t="str">
        <v>SLV</v>
      </c>
      <c r="B60" t="str">
        <v>Commodities</v>
      </c>
      <c r="C60" t="str">
        <v>USD</v>
      </c>
      <c r="D60">
        <v>0</v>
      </c>
      <c r="E60">
        <v>0</v>
      </c>
      <c r="F60" t="str">
        <v>iShares Silver Trust</v>
      </c>
      <c r="G60" t="str">
        <v>yfinance</v>
      </c>
      <c r="H60" t="str">
        <v>SLV</v>
      </c>
      <c r="I60" t="str">
        <v>lognormal</v>
      </c>
      <c r="J60">
        <v>1E-4</v>
      </c>
    </row>
    <row r="61" spans="1:10" x14ac:dyDescent="0.25">
      <c r="A61" t="str">
        <v>USO</v>
      </c>
      <c r="B61" t="str">
        <v>Commodities</v>
      </c>
      <c r="C61" t="str">
        <v>USD</v>
      </c>
      <c r="D61">
        <v>0</v>
      </c>
      <c r="E61">
        <v>0</v>
      </c>
      <c r="F61" t="str">
        <v>United States Oil Fund</v>
      </c>
      <c r="G61" t="str">
        <v>yfinance</v>
      </c>
      <c r="H61" t="str">
        <v>USO</v>
      </c>
      <c r="I61" t="str">
        <v>lognormal</v>
      </c>
      <c r="J61">
        <v>1E-4</v>
      </c>
    </row>
    <row r="62" spans="1:10" x14ac:dyDescent="0.25">
      <c r="A62" t="str">
        <v>UUP</v>
      </c>
      <c r="B62" t="str">
        <v>Currencies</v>
      </c>
      <c r="C62" t="str">
        <v>USD</v>
      </c>
      <c r="D62">
        <v>0</v>
      </c>
      <c r="E62">
        <v>0</v>
      </c>
      <c r="F62" t="str">
        <v>Invesco DB US Dollar Index Bullish Fund</v>
      </c>
      <c r="G62" t="str">
        <v>yfinance</v>
      </c>
      <c r="H62" t="str">
        <v>UUP</v>
      </c>
      <c r="I62" t="str">
        <v>lognormal</v>
      </c>
      <c r="J62">
        <v>1E-4</v>
      </c>
    </row>
    <row r="63" spans="1:10" x14ac:dyDescent="0.25">
      <c r="A63" t="str">
        <v>DX-Y.NYB</v>
      </c>
      <c r="B63" t="str">
        <v>Currencies</v>
      </c>
      <c r="C63" t="str">
        <v>USD</v>
      </c>
      <c r="D63">
        <v>0</v>
      </c>
      <c r="E63">
        <v>0</v>
      </c>
      <c r="F63" t="str">
        <v>U.S. Dollar Index</v>
      </c>
      <c r="G63" t="str">
        <v>yfinance</v>
      </c>
      <c r="H63" t="str">
        <v>DX-Y.NYB</v>
      </c>
      <c r="I63" t="str">
        <v>lognormal</v>
      </c>
      <c r="J63">
        <v>1E-4</v>
      </c>
    </row>
    <row r="64" spans="1:10" x14ac:dyDescent="0.25">
      <c r="A64" t="str">
        <v>FXE</v>
      </c>
      <c r="B64" t="str">
        <v>Currencies</v>
      </c>
      <c r="C64" t="str">
        <v>EUR</v>
      </c>
      <c r="D64">
        <v>0</v>
      </c>
      <c r="E64">
        <v>0</v>
      </c>
      <c r="F64" t="str">
        <v>Invesco CurrencyShares Euro Trust</v>
      </c>
      <c r="G64" t="str">
        <v>yfinance</v>
      </c>
      <c r="H64" t="str">
        <v>FXE</v>
      </c>
      <c r="I64" t="str">
        <v>lognormal</v>
      </c>
      <c r="J64">
        <v>1E-4</v>
      </c>
    </row>
    <row r="65" spans="1:10" x14ac:dyDescent="0.25">
      <c r="A65" t="str">
        <v>FXF</v>
      </c>
      <c r="B65" t="str">
        <v>Currencies</v>
      </c>
      <c r="C65" t="str">
        <v>EUR</v>
      </c>
      <c r="D65">
        <v>0</v>
      </c>
      <c r="E65">
        <v>0</v>
      </c>
      <c r="F65" t="str">
        <v>Invesco CurrencyShares Swiss Franc Trust</v>
      </c>
      <c r="G65" t="str">
        <v>yfinance</v>
      </c>
      <c r="H65" t="str">
        <v>FXF</v>
      </c>
      <c r="I65" t="str">
        <v>lognormal</v>
      </c>
      <c r="J65">
        <v>1E-4</v>
      </c>
    </row>
    <row r="66" spans="1:10" x14ac:dyDescent="0.25">
      <c r="A66" t="str">
        <v>FXA</v>
      </c>
      <c r="B66" t="str">
        <v>Currencies</v>
      </c>
      <c r="C66" t="str">
        <v>Commod</v>
      </c>
      <c r="D66">
        <v>0</v>
      </c>
      <c r="E66">
        <v>0</v>
      </c>
      <c r="F66" t="str">
        <v>Invesco CurrencyShares Australian Dollar Trust</v>
      </c>
      <c r="G66" t="str">
        <v>yfinance</v>
      </c>
      <c r="H66" t="str">
        <v>FXA</v>
      </c>
      <c r="I66" t="str">
        <v>lognormal</v>
      </c>
      <c r="J66">
        <v>1E-4</v>
      </c>
    </row>
    <row r="67" spans="1:10" x14ac:dyDescent="0.25">
      <c r="A67" t="str">
        <v>FXB</v>
      </c>
      <c r="B67" t="str">
        <v>Currencies</v>
      </c>
      <c r="C67" t="str">
        <v>GBP</v>
      </c>
      <c r="D67">
        <v>0</v>
      </c>
      <c r="E67">
        <v>0</v>
      </c>
      <c r="F67" t="str">
        <v>Invesco CurrencyShares British Pound Sterling Trust</v>
      </c>
      <c r="G67" t="str">
        <v>yfinance</v>
      </c>
      <c r="H67" t="str">
        <v>FXB</v>
      </c>
      <c r="I67" t="str">
        <v>lognormal</v>
      </c>
      <c r="J67">
        <v>1E-4</v>
      </c>
    </row>
    <row r="68" spans="1:10" x14ac:dyDescent="0.25">
      <c r="A68" t="str">
        <v>FXC</v>
      </c>
      <c r="B68" t="str">
        <v>Currencies</v>
      </c>
      <c r="C68" t="str">
        <v>USD</v>
      </c>
      <c r="D68">
        <v>0</v>
      </c>
      <c r="E68">
        <v>0</v>
      </c>
      <c r="F68" t="str">
        <v>Invesco CurrencyShares Canadian Dollar Trust</v>
      </c>
      <c r="G68" t="str">
        <v>yfinance</v>
      </c>
      <c r="H68" t="str">
        <v>FXC</v>
      </c>
      <c r="I68" t="str">
        <v>lognormal</v>
      </c>
      <c r="J68">
        <v>1E-4</v>
      </c>
    </row>
    <row r="69" spans="1:10" x14ac:dyDescent="0.25">
      <c r="A69" t="str">
        <v>FXY</v>
      </c>
      <c r="B69" t="str">
        <v>Currencies</v>
      </c>
      <c r="C69" t="str">
        <v>JPY</v>
      </c>
      <c r="D69">
        <v>0</v>
      </c>
      <c r="E69">
        <v>0</v>
      </c>
      <c r="F69" t="str">
        <v>Invesco CurrencyShares Japanese Yen Trust</v>
      </c>
      <c r="G69" t="str">
        <v>yfinance</v>
      </c>
      <c r="H69" t="str">
        <v>FXY</v>
      </c>
      <c r="I69" t="str">
        <v>lognormal</v>
      </c>
      <c r="J69">
        <v>1E-4</v>
      </c>
    </row>
    <row r="70" spans="1:10" x14ac:dyDescent="0.25">
      <c r="A70" t="str">
        <v>^VIX</v>
      </c>
      <c r="B70" t="str">
        <v>Vol</v>
      </c>
      <c r="C70" t="str">
        <v>USD</v>
      </c>
      <c r="D70">
        <v>0</v>
      </c>
      <c r="E70">
        <v>0</v>
      </c>
      <c r="F70" t="str">
        <v>CBOE Volatility Index</v>
      </c>
      <c r="G70" t="str">
        <v>yfinance</v>
      </c>
      <c r="H70" t="str">
        <v>^VIX</v>
      </c>
      <c r="I70" t="str">
        <v>normal</v>
      </c>
      <c r="J70">
        <v>-0.01</v>
      </c>
    </row>
    <row r="71" spans="1:10" x14ac:dyDescent="0.25">
      <c r="A71" t="str">
        <v>VXX</v>
      </c>
      <c r="B71" t="str">
        <v>Vol</v>
      </c>
      <c r="C71" t="str">
        <v>USD</v>
      </c>
      <c r="D71">
        <v>0</v>
      </c>
      <c r="E71">
        <v>0</v>
      </c>
      <c r="F71" t="str">
        <v>VIX Short-Term Futures ETN</v>
      </c>
      <c r="G71" t="str">
        <v>yfinance</v>
      </c>
      <c r="H71" t="str">
        <v>VXX</v>
      </c>
      <c r="I71" t="str">
        <v>normal</v>
      </c>
      <c r="J71">
        <v>-0.01</v>
      </c>
    </row>
    <row r="72" spans="1:10" x14ac:dyDescent="0.25">
      <c r="A72" t="str">
        <v>^VIX3M</v>
      </c>
      <c r="B72" t="str">
        <v>Vol</v>
      </c>
      <c r="C72" t="str">
        <v>USD</v>
      </c>
      <c r="D72">
        <v>0</v>
      </c>
      <c r="E72">
        <v>0</v>
      </c>
      <c r="F72" t="str">
        <v>CBOE S&amp;P 500 3-Month Volatility</v>
      </c>
      <c r="G72" t="str">
        <v>yfinance</v>
      </c>
      <c r="H72" t="str">
        <v>^VIX3M</v>
      </c>
      <c r="I72" t="str">
        <v>normal</v>
      </c>
      <c r="J72">
        <v>-0.01</v>
      </c>
    </row>
    <row r="73" spans="1:10" x14ac:dyDescent="0.25">
      <c r="A73" t="str">
        <v>^MOVE</v>
      </c>
      <c r="B73" t="str">
        <v>Vol</v>
      </c>
      <c r="C73" t="str">
        <v>USD</v>
      </c>
      <c r="D73">
        <v>0</v>
      </c>
      <c r="E73">
        <v>0</v>
      </c>
      <c r="F73" t="str">
        <v>ICE BofAML MOVE Index</v>
      </c>
      <c r="G73" t="str">
        <v>yfinance</v>
      </c>
      <c r="H73" t="str">
        <v>^MOVE</v>
      </c>
      <c r="I73" t="str">
        <v>normal</v>
      </c>
      <c r="J73">
        <v>-0.01</v>
      </c>
    </row>
    <row r="74" spans="1:10" x14ac:dyDescent="0.25">
      <c r="A74" t="str">
        <v>^OVX</v>
      </c>
      <c r="B74" t="str">
        <v>Vol</v>
      </c>
      <c r="C74" t="str">
        <v>USD</v>
      </c>
      <c r="D74">
        <v>0</v>
      </c>
      <c r="E74">
        <v>0</v>
      </c>
      <c r="F74" t="str">
        <v>CBOE Crude Oil Volatility Index</v>
      </c>
      <c r="G74" t="str">
        <v>yfinance</v>
      </c>
      <c r="H74" t="str">
        <v>^OVX</v>
      </c>
      <c r="I74" t="str">
        <v>normal</v>
      </c>
      <c r="J74">
        <v>-0.01</v>
      </c>
    </row>
    <row r="75" spans="1:10" x14ac:dyDescent="0.25">
      <c r="A75" t="str">
        <v>^GVZ</v>
      </c>
      <c r="B75" t="str">
        <v>Vol</v>
      </c>
      <c r="C75" t="str">
        <v>USD</v>
      </c>
      <c r="D75">
        <v>0</v>
      </c>
      <c r="E75">
        <v>0</v>
      </c>
      <c r="F75" t="str">
        <v>CBOE Gold Volatility Index</v>
      </c>
      <c r="G75" t="str">
        <v>yfinance</v>
      </c>
      <c r="H75" t="str">
        <v>^GVZ</v>
      </c>
      <c r="I75" t="str">
        <v>normal</v>
      </c>
      <c r="J75">
        <v>-0.01</v>
      </c>
    </row>
    <row r="76" spans="1:10" x14ac:dyDescent="0.25">
      <c r="A76" t="str">
        <v>MWTIX</v>
      </c>
      <c r="B76" t="str">
        <v>Portfolio</v>
      </c>
      <c r="C76" t="str">
        <v>USD</v>
      </c>
      <c r="D76">
        <v>1</v>
      </c>
      <c r="E76">
        <v>0</v>
      </c>
      <c r="F76" t="str">
        <v>TCW MetWest Total Return Bd I</v>
      </c>
      <c r="G76" t="str">
        <v>yfinance</v>
      </c>
      <c r="H76" t="str">
        <v>MWTIX</v>
      </c>
      <c r="I76" t="str">
        <v>lognormal</v>
      </c>
      <c r="J76">
        <v>1E-4</v>
      </c>
    </row>
    <row r="77" spans="1:10" x14ac:dyDescent="0.25">
      <c r="A77" t="str">
        <v>FCNTX</v>
      </c>
      <c r="B77" t="str">
        <v>Portfolio</v>
      </c>
      <c r="C77" t="str">
        <v>USD</v>
      </c>
      <c r="D77">
        <v>0</v>
      </c>
      <c r="E77">
        <v>0</v>
      </c>
      <c r="F77" t="str">
        <v>Fidelity Contrafund</v>
      </c>
      <c r="G77" t="str">
        <v>yfinance</v>
      </c>
      <c r="H77" t="str">
        <v>FCNTX</v>
      </c>
      <c r="I77" t="str">
        <v>lognormal</v>
      </c>
      <c r="J77">
        <v>1E-4</v>
      </c>
    </row>
    <row r="78" spans="1:10" x14ac:dyDescent="0.25">
      <c r="A78" t="str">
        <v>PRIVATES</v>
      </c>
      <c r="B78" t="str">
        <v>Theme</v>
      </c>
      <c r="C78" t="str">
        <v>USD</v>
      </c>
      <c r="D78">
        <v>1</v>
      </c>
      <c r="E78">
        <v>1</v>
      </c>
      <c r="F78" t="str">
        <v>PSP 0.5, XLF -0.5, BKLN 0.5, LQDH -0.5</v>
      </c>
      <c r="G78" t="str">
        <v>composite</v>
      </c>
      <c r="H78" t="str">
        <v>PRIVATES</v>
      </c>
      <c r="I78" t="str">
        <v>lognormal</v>
      </c>
      <c r="J78">
        <v>1E-4</v>
      </c>
    </row>
    <row r="79" spans="1:10" x14ac:dyDescent="0.25">
      <c r="A79" t="str">
        <v>FED</v>
      </c>
      <c r="B79" t="str">
        <v>Theme</v>
      </c>
      <c r="C79" t="str">
        <v>USD</v>
      </c>
      <c r="D79">
        <v>1</v>
      </c>
      <c r="E79">
        <v>1</v>
      </c>
      <c r="F79" t="str">
        <v>SHY 1, BSV 1</v>
      </c>
      <c r="G79" t="str">
        <v>composite</v>
      </c>
      <c r="H79" t="str">
        <v>FED</v>
      </c>
      <c r="I79" t="str">
        <v>lognormal</v>
      </c>
      <c r="J79">
        <v>1E-4</v>
      </c>
    </row>
    <row r="80" spans="1:10" x14ac:dyDescent="0.25">
      <c r="A80" t="str">
        <v>AI</v>
      </c>
      <c r="B80" t="str">
        <v>Theme</v>
      </c>
      <c r="C80" t="str">
        <v>USD</v>
      </c>
      <c r="D80">
        <v>1</v>
      </c>
      <c r="E80">
        <v>1</v>
      </c>
      <c r="F80" t="str">
        <v>AIQ 1, QQQ 0.25, IWM -0.25</v>
      </c>
      <c r="G80" t="str">
        <v>composite</v>
      </c>
      <c r="H80" t="str">
        <v>AI</v>
      </c>
      <c r="I80" t="str">
        <v>lognormal</v>
      </c>
      <c r="J80">
        <v>1E-4</v>
      </c>
    </row>
    <row r="81" spans="1:10" x14ac:dyDescent="0.25">
      <c r="A81" t="str">
        <v>GEOPOLITICS</v>
      </c>
      <c r="B81" t="str">
        <v>Theme</v>
      </c>
      <c r="C81" t="str">
        <v>USD</v>
      </c>
      <c r="D81">
        <v>1</v>
      </c>
      <c r="E81">
        <v>1</v>
      </c>
      <c r="F81" t="str">
        <v>GLD 0.65, USO 0.3, ^VIX3M -0.15, FEZ -0.05</v>
      </c>
      <c r="G81" t="str">
        <v>composite</v>
      </c>
      <c r="H81" t="str">
        <v>GEOPOLITICS</v>
      </c>
      <c r="I81" t="str">
        <v>lognormal</v>
      </c>
      <c r="J81">
        <v>1E-4</v>
      </c>
    </row>
    <row r="82" spans="1:10" x14ac:dyDescent="0.25">
      <c r="A82" t="str">
        <v>TRADEWAR</v>
      </c>
      <c r="B82" t="str">
        <v>Theme</v>
      </c>
      <c r="C82" t="str">
        <v>USD</v>
      </c>
      <c r="D82">
        <v>1</v>
      </c>
      <c r="E82">
        <v>1</v>
      </c>
      <c r="F82" t="str">
        <v>GLD 0.21, FXY 0.30, FXF 0.37, ^VIX3M -0.04, XLP 0.15, XLY -0.15</v>
      </c>
      <c r="G82" t="str">
        <v>composite</v>
      </c>
      <c r="H82" t="str">
        <v>TRADEWAR</v>
      </c>
      <c r="I82" t="str">
        <v>lognormal</v>
      </c>
      <c r="J82">
        <v>1E-4</v>
      </c>
    </row>
    <row r="83" spans="1:10" x14ac:dyDescent="0.25">
      <c r="A83" t="str">
        <v>IRAN</v>
      </c>
      <c r="B83" t="str">
        <v>Theme</v>
      </c>
      <c r="C83" t="str">
        <v>USD</v>
      </c>
      <c r="D83">
        <v>1</v>
      </c>
      <c r="E83">
        <v>1</v>
      </c>
      <c r="F83" t="str">
        <v>USO 1</v>
      </c>
      <c r="G83" t="str">
        <v>composite</v>
      </c>
      <c r="H83" t="str">
        <v>IRAN</v>
      </c>
      <c r="I83" t="str">
        <v>lognormal</v>
      </c>
      <c r="J83">
        <v>1E-4</v>
      </c>
    </row>
    <row r="84" spans="1:10" x14ac:dyDescent="0.25">
      <c r="A84" t="str">
        <v>SEMI-SOFT</v>
      </c>
      <c r="B84" t="str">
        <v>Theme</v>
      </c>
      <c r="C84" t="str">
        <v>USD</v>
      </c>
      <c r="D84">
        <v>1</v>
      </c>
      <c r="E84">
        <v>1</v>
      </c>
      <c r="F84" t="str">
        <v>SMH 1, IGV -1, QQQ 1</v>
      </c>
      <c r="G84" t="str">
        <v>composite</v>
      </c>
      <c r="H84" t="str">
        <v>SEMI-SOFT</v>
      </c>
      <c r="I84" t="str">
        <v>lognormal</v>
      </c>
      <c r="J84">
        <v>1E-4</v>
      </c>
    </row>
    <row r="85" spans="1:10" x14ac:dyDescent="0.25">
      <c r="A85" t="str">
        <v>2s10s</v>
      </c>
      <c r="B85" t="str">
        <v>Rates</v>
      </c>
      <c r="C85" t="str">
        <v>USD</v>
      </c>
      <c r="D85">
        <v>1</v>
      </c>
      <c r="E85">
        <v>1</v>
      </c>
      <c r="F85" t="str">
        <v>SHY -3.86, IEF 1</v>
      </c>
      <c r="G85" t="str">
        <v>composite</v>
      </c>
      <c r="H85" t="str">
        <v>2s10s</v>
      </c>
      <c r="I85" t="str">
        <v>lognormal</v>
      </c>
      <c r="J85">
        <v>1E-4</v>
      </c>
    </row>
    <row r="86" spans="1:10" x14ac:dyDescent="0.25">
      <c r="A86" t="str">
        <v>XLPXLY</v>
      </c>
      <c r="B86" t="str">
        <v>Equities</v>
      </c>
      <c r="C86" t="str">
        <v>USD</v>
      </c>
      <c r="D86">
        <v>1</v>
      </c>
      <c r="E86">
        <v>1</v>
      </c>
      <c r="F86" t="str">
        <v>Staples/Discretionary</v>
      </c>
      <c r="G86" t="str">
        <v>composite</v>
      </c>
      <c r="H86" t="str">
        <v>XLPXLY</v>
      </c>
      <c r="I86" t="str">
        <v>lognormal</v>
      </c>
      <c r="J86">
        <v>1E-4</v>
      </c>
    </row>
    <row r="87" spans="1:10" x14ac:dyDescent="0.25">
      <c r="A87" t="str">
        <v>BTC</v>
      </c>
      <c r="B87" t="str">
        <v>Currencies</v>
      </c>
      <c r="C87" t="str">
        <v>USD</v>
      </c>
      <c r="D87">
        <v>0</v>
      </c>
      <c r="E87">
        <v>0</v>
      </c>
      <c r="F87" t="str">
        <v>-</v>
      </c>
      <c r="G87" t="str">
        <v>lmxl</v>
      </c>
      <c r="H87" t="str">
        <v>BTC1_price</v>
      </c>
      <c r="I87" t="str">
        <v>lognormal</v>
      </c>
      <c r="J87">
        <v>1E-4</v>
      </c>
    </row>
    <row r="88" spans="1:10" x14ac:dyDescent="0.25">
      <c r="A88" t="str">
        <v>BTC_vol</v>
      </c>
      <c r="B88" t="str">
        <v>Vol</v>
      </c>
      <c r="C88" t="str">
        <v>USD</v>
      </c>
      <c r="D88">
        <v>0</v>
      </c>
      <c r="E88">
        <v>0</v>
      </c>
      <c r="F88" t="str">
        <v>-</v>
      </c>
      <c r="G88" t="str">
        <v>lmxl</v>
      </c>
      <c r="H88" t="str">
        <v>BTC1_atm</v>
      </c>
      <c r="I88" t="str">
        <v>normal</v>
      </c>
      <c r="J88">
        <v>-0.01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9"/>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9">_xlfn._xlws.FILTER(data[factor_name],data[Active]*NOT(data[composite]))</f>
        <v>SPY</v>
      </c>
      <c r="B2" t="str" cm="1">
        <f t="array" ref="B2:E79">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PSP</v>
      </c>
      <c r="B26" t="str">
        <v>Equities</v>
      </c>
      <c r="C26" t="str">
        <v>USD</v>
      </c>
      <c r="D26">
        <v>0</v>
      </c>
      <c r="E26" t="str">
        <v>Private Equity</v>
      </c>
    </row>
    <row r="27" spans="1:5" x14ac:dyDescent="0.25">
      <c r="A27" t="str">
        <v>PFF</v>
      </c>
      <c r="B27" t="str">
        <v>Equities</v>
      </c>
      <c r="C27" t="str">
        <v>USD</v>
      </c>
      <c r="D27">
        <v>0</v>
      </c>
      <c r="E27" t="str">
        <v>Preferred</v>
      </c>
    </row>
    <row r="28" spans="1:5" x14ac:dyDescent="0.25">
      <c r="A28" t="str">
        <v>IWN</v>
      </c>
      <c r="B28" t="str">
        <v>Equities</v>
      </c>
      <c r="C28" t="str">
        <v>USD</v>
      </c>
      <c r="D28">
        <v>0</v>
      </c>
      <c r="E28" t="str">
        <v>Value</v>
      </c>
    </row>
    <row r="29" spans="1:5" x14ac:dyDescent="0.25">
      <c r="A29" t="str">
        <v>IWO</v>
      </c>
      <c r="B29" t="str">
        <v>Equities</v>
      </c>
      <c r="C29" t="str">
        <v>USD</v>
      </c>
      <c r="D29">
        <v>0</v>
      </c>
      <c r="E29" t="str">
        <v>Growth</v>
      </c>
    </row>
    <row r="30" spans="1:5" x14ac:dyDescent="0.25">
      <c r="A30" t="str">
        <v>MTUM</v>
      </c>
      <c r="B30" t="str">
        <v>Equities</v>
      </c>
      <c r="C30" t="str">
        <v>USD</v>
      </c>
      <c r="D30">
        <v>0</v>
      </c>
      <c r="E30" t="str">
        <v>Momentum</v>
      </c>
    </row>
    <row r="31" spans="1:5" x14ac:dyDescent="0.25">
      <c r="A31" t="str">
        <v>FEZ</v>
      </c>
      <c r="B31" t="str">
        <v>Equities</v>
      </c>
      <c r="C31" t="str">
        <v>USD</v>
      </c>
      <c r="D31">
        <v>0</v>
      </c>
      <c r="E31" t="str">
        <v>Eurostoxx 50</v>
      </c>
    </row>
    <row r="32" spans="1:5" x14ac:dyDescent="0.25">
      <c r="A32" t="str">
        <v>EWU</v>
      </c>
      <c r="B32" t="str">
        <v>Equities</v>
      </c>
      <c r="C32" t="str">
        <v>GBP</v>
      </c>
      <c r="D32">
        <v>0</v>
      </c>
      <c r="E32" t="str">
        <v>FTSE 100</v>
      </c>
    </row>
    <row r="33" spans="1:5" x14ac:dyDescent="0.25">
      <c r="A33" t="str">
        <v>DAX</v>
      </c>
      <c r="B33" t="str">
        <v>Equities</v>
      </c>
      <c r="C33" t="str">
        <v>EUR</v>
      </c>
      <c r="D33">
        <v>0</v>
      </c>
      <c r="E33" t="str">
        <v>DAX (Germany)</v>
      </c>
    </row>
    <row r="34" spans="1:5" x14ac:dyDescent="0.25">
      <c r="A34" t="str">
        <v>EWC</v>
      </c>
      <c r="B34" t="str">
        <v>Equities</v>
      </c>
      <c r="C34" t="str">
        <v>CAD</v>
      </c>
      <c r="D34">
        <v>0</v>
      </c>
      <c r="E34" t="str">
        <v>MSCI Canada</v>
      </c>
    </row>
    <row r="35" spans="1:5" x14ac:dyDescent="0.25">
      <c r="A35" t="str">
        <v>EWI</v>
      </c>
      <c r="B35" t="str">
        <v>Equities</v>
      </c>
      <c r="C35" t="str">
        <v>EUR</v>
      </c>
      <c r="D35">
        <v>0</v>
      </c>
      <c r="E35" t="str">
        <v>MSCI Italy</v>
      </c>
    </row>
    <row r="36" spans="1:5" x14ac:dyDescent="0.25">
      <c r="A36" t="str">
        <v>^N225</v>
      </c>
      <c r="B36" t="str">
        <v>Equities</v>
      </c>
      <c r="C36" t="str">
        <v>JPY</v>
      </c>
      <c r="D36">
        <v>0</v>
      </c>
      <c r="E36" t="str">
        <v>Nikkei 225</v>
      </c>
    </row>
    <row r="37" spans="1:5" x14ac:dyDescent="0.25">
      <c r="A37" t="str">
        <v>FXI</v>
      </c>
      <c r="B37" t="str">
        <v>Equities</v>
      </c>
      <c r="C37" t="str">
        <v>CNH</v>
      </c>
      <c r="D37">
        <v>0</v>
      </c>
      <c r="E37" t="str">
        <v>China Large-Cap</v>
      </c>
    </row>
    <row r="38" spans="1:5" x14ac:dyDescent="0.25">
      <c r="A38" t="str">
        <v>ASHR</v>
      </c>
      <c r="B38" t="str">
        <v>Equities</v>
      </c>
      <c r="C38" t="str">
        <v>CNH</v>
      </c>
      <c r="D38">
        <v>0</v>
      </c>
      <c r="E38" t="str">
        <v>CSI 300 (China)</v>
      </c>
    </row>
    <row r="39" spans="1:5" x14ac:dyDescent="0.25">
      <c r="A39" t="str">
        <v>KWEB</v>
      </c>
      <c r="B39" t="str">
        <v>Equities</v>
      </c>
      <c r="C39" t="str">
        <v>CNH</v>
      </c>
      <c r="D39">
        <v>0</v>
      </c>
      <c r="E39" t="str">
        <v>CSI China Internet</v>
      </c>
    </row>
    <row r="40" spans="1:5" x14ac:dyDescent="0.25">
      <c r="A40" t="str">
        <v>EEM</v>
      </c>
      <c r="B40" t="str">
        <v>Equities</v>
      </c>
      <c r="C40" t="str">
        <v>EM</v>
      </c>
      <c r="D40">
        <v>0</v>
      </c>
      <c r="E40" t="str">
        <v>MSCI EM</v>
      </c>
    </row>
    <row r="41" spans="1:5" x14ac:dyDescent="0.25">
      <c r="A41" t="str">
        <v>LQD</v>
      </c>
      <c r="B41" t="str">
        <v>Credit</v>
      </c>
      <c r="C41" t="str">
        <v>USD</v>
      </c>
      <c r="D41">
        <v>0</v>
      </c>
      <c r="E41" t="str">
        <v>iShares iBoxx $ Investment Grade Corporate Bond ETF</v>
      </c>
    </row>
    <row r="42" spans="1:5" x14ac:dyDescent="0.25">
      <c r="A42" t="str">
        <v>BSV</v>
      </c>
      <c r="B42" t="str">
        <v>Credit</v>
      </c>
      <c r="C42" t="str">
        <v>USD</v>
      </c>
      <c r="D42">
        <v>0</v>
      </c>
      <c r="E42" t="str">
        <v>Vanguard Short-Term Bond Index Fund ETF</v>
      </c>
    </row>
    <row r="43" spans="1:5" x14ac:dyDescent="0.25">
      <c r="A43" t="str">
        <v>HYG</v>
      </c>
      <c r="B43" t="str">
        <v>Credit</v>
      </c>
      <c r="C43" t="str">
        <v>USD</v>
      </c>
      <c r="D43">
        <v>0</v>
      </c>
      <c r="E43" t="str">
        <v>iShares iBoxx $ High Yield Corporate Bond ETF</v>
      </c>
    </row>
    <row r="44" spans="1:5" x14ac:dyDescent="0.25">
      <c r="A44" t="str">
        <v>LQDH</v>
      </c>
      <c r="B44" t="str">
        <v>Credit</v>
      </c>
      <c r="C44" t="str">
        <v>USD</v>
      </c>
      <c r="D44">
        <v>1</v>
      </c>
      <c r="E44" t="str">
        <v>Hedged LQD</v>
      </c>
    </row>
    <row r="45" spans="1:5" x14ac:dyDescent="0.25">
      <c r="A45" t="str">
        <v>HYGH</v>
      </c>
      <c r="B45" t="str">
        <v>Credit</v>
      </c>
      <c r="C45" t="str">
        <v>USD</v>
      </c>
      <c r="D45">
        <v>0</v>
      </c>
      <c r="E45" t="str">
        <v>Hedged HYG</v>
      </c>
    </row>
    <row r="46" spans="1:5" x14ac:dyDescent="0.25">
      <c r="A46" t="str">
        <v>BKLN</v>
      </c>
      <c r="B46" t="str">
        <v>Credit</v>
      </c>
      <c r="C46" t="str">
        <v>USD</v>
      </c>
      <c r="D46">
        <v>0</v>
      </c>
      <c r="E46" t="str">
        <v>Bank Loans</v>
      </c>
    </row>
    <row r="47" spans="1:5" x14ac:dyDescent="0.25">
      <c r="A47" t="str">
        <v>AGG</v>
      </c>
      <c r="B47" t="str">
        <v>Credit</v>
      </c>
      <c r="C47" t="str">
        <v>USD</v>
      </c>
      <c r="D47">
        <v>0</v>
      </c>
      <c r="E47" t="str">
        <v>US Agg</v>
      </c>
    </row>
    <row r="48" spans="1:5" x14ac:dyDescent="0.25">
      <c r="A48" t="str">
        <v>^TNX</v>
      </c>
      <c r="B48" t="str">
        <v>Rates</v>
      </c>
      <c r="C48" t="str">
        <v>USD</v>
      </c>
      <c r="D48">
        <v>0</v>
      </c>
      <c r="E48" t="str">
        <v>CBOE Interest Rate 10 Year</v>
      </c>
    </row>
    <row r="49" spans="1:5" x14ac:dyDescent="0.25">
      <c r="A49" t="str">
        <v>SHY</v>
      </c>
      <c r="B49" t="str">
        <v>Rates</v>
      </c>
      <c r="C49" t="str">
        <v>USD</v>
      </c>
      <c r="D49">
        <v>0</v>
      </c>
      <c r="E49" t="str">
        <v>1-3 Year Treasury</v>
      </c>
    </row>
    <row r="50" spans="1:5" x14ac:dyDescent="0.25">
      <c r="A50" t="str">
        <v>IEI</v>
      </c>
      <c r="B50" t="str">
        <v>Rates</v>
      </c>
      <c r="C50" t="str">
        <v>USD</v>
      </c>
      <c r="D50">
        <v>0</v>
      </c>
      <c r="E50" t="str">
        <v>3-7 Year Treasury</v>
      </c>
    </row>
    <row r="51" spans="1:5" x14ac:dyDescent="0.25">
      <c r="A51" t="str">
        <v>IEF</v>
      </c>
      <c r="B51" t="str">
        <v>Rates</v>
      </c>
      <c r="C51" t="str">
        <v>USD</v>
      </c>
      <c r="D51">
        <v>1</v>
      </c>
      <c r="E51" t="str">
        <v>7-10 Year Treasury</v>
      </c>
    </row>
    <row r="52" spans="1:5" x14ac:dyDescent="0.25">
      <c r="A52" t="str">
        <v>TLT</v>
      </c>
      <c r="B52" t="str">
        <v>Rates</v>
      </c>
      <c r="C52" t="str">
        <v>USD</v>
      </c>
      <c r="D52">
        <v>0</v>
      </c>
      <c r="E52" t="str">
        <v>20+ Year Treasury</v>
      </c>
    </row>
    <row r="53" spans="1:5" x14ac:dyDescent="0.25">
      <c r="A53" t="str">
        <v>TIP</v>
      </c>
      <c r="B53" t="str">
        <v>Rates</v>
      </c>
      <c r="C53" t="str">
        <v>USD</v>
      </c>
      <c r="D53">
        <v>0</v>
      </c>
      <c r="E53" t="str">
        <v>iShares TIPS Bond ETF</v>
      </c>
    </row>
    <row r="54" spans="1:5" x14ac:dyDescent="0.25">
      <c r="A54" t="str">
        <v>VTIP</v>
      </c>
      <c r="B54" t="str">
        <v>Rates</v>
      </c>
      <c r="C54" t="str">
        <v>USD</v>
      </c>
      <c r="D54">
        <v>0</v>
      </c>
      <c r="E54" t="str">
        <v>Short-Term Inflation-Protected Securities ETF</v>
      </c>
    </row>
    <row r="55" spans="1:5" x14ac:dyDescent="0.25">
      <c r="A55" t="str">
        <v>AGNC</v>
      </c>
      <c r="B55" t="str">
        <v>Rates</v>
      </c>
      <c r="C55" t="str">
        <v>USD</v>
      </c>
      <c r="D55">
        <v>0</v>
      </c>
      <c r="E55" t="str">
        <v>AGNC Investment Corp.</v>
      </c>
    </row>
    <row r="56" spans="1:5" x14ac:dyDescent="0.25">
      <c r="A56" t="str">
        <v>VMBS</v>
      </c>
      <c r="B56" t="str">
        <v>Rates</v>
      </c>
      <c r="C56" t="str">
        <v>USD</v>
      </c>
      <c r="D56">
        <v>0</v>
      </c>
      <c r="E56" t="str">
        <v>Mortgage-Backed Securities ETF</v>
      </c>
    </row>
    <row r="57" spans="1:5" x14ac:dyDescent="0.25">
      <c r="A57" t="str">
        <v>CMBS</v>
      </c>
      <c r="B57" t="str">
        <v>Rates</v>
      </c>
      <c r="C57" t="str">
        <v>USD</v>
      </c>
      <c r="D57">
        <v>0</v>
      </c>
      <c r="E57" t="str">
        <v>iShares CMBS ETF</v>
      </c>
    </row>
    <row r="58" spans="1:5" x14ac:dyDescent="0.25">
      <c r="A58" t="str">
        <v>EMB</v>
      </c>
      <c r="B58" t="str">
        <v>Rates</v>
      </c>
      <c r="C58" t="str">
        <v>EM</v>
      </c>
      <c r="D58">
        <v>0</v>
      </c>
      <c r="E58" t="str">
        <v>iShares J.P. Morgan USD Emerging Markets Bond ETF</v>
      </c>
    </row>
    <row r="59" spans="1:5" x14ac:dyDescent="0.25">
      <c r="A59" t="str">
        <v>GLD</v>
      </c>
      <c r="B59" t="str">
        <v>Commodities</v>
      </c>
      <c r="C59" t="str">
        <v>USD</v>
      </c>
      <c r="D59">
        <v>0</v>
      </c>
      <c r="E59" t="str">
        <v>SPDR Gold Shares</v>
      </c>
    </row>
    <row r="60" spans="1:5" x14ac:dyDescent="0.25">
      <c r="A60" t="str">
        <v>SLV</v>
      </c>
      <c r="B60" t="str">
        <v>Commodities</v>
      </c>
      <c r="C60" t="str">
        <v>USD</v>
      </c>
      <c r="D60">
        <v>0</v>
      </c>
      <c r="E60" t="str">
        <v>iShares Silver Trust</v>
      </c>
    </row>
    <row r="61" spans="1:5" x14ac:dyDescent="0.25">
      <c r="A61" t="str">
        <v>USO</v>
      </c>
      <c r="B61" t="str">
        <v>Commodities</v>
      </c>
      <c r="C61" t="str">
        <v>USD</v>
      </c>
      <c r="D61">
        <v>0</v>
      </c>
      <c r="E61" t="str">
        <v>United States Oil Fund</v>
      </c>
    </row>
    <row r="62" spans="1:5" x14ac:dyDescent="0.25">
      <c r="A62" t="str">
        <v>UUP</v>
      </c>
      <c r="B62" t="str">
        <v>Currencies</v>
      </c>
      <c r="C62" t="str">
        <v>USD</v>
      </c>
      <c r="D62">
        <v>0</v>
      </c>
      <c r="E62" t="str">
        <v>Invesco DB US Dollar Index Bullish Fund</v>
      </c>
    </row>
    <row r="63" spans="1:5" x14ac:dyDescent="0.25">
      <c r="A63" t="str">
        <v>DX-Y.NYB</v>
      </c>
      <c r="B63" t="str">
        <v>Currencies</v>
      </c>
      <c r="C63" t="str">
        <v>USD</v>
      </c>
      <c r="D63">
        <v>0</v>
      </c>
      <c r="E63" t="str">
        <v>U.S. Dollar Index</v>
      </c>
    </row>
    <row r="64" spans="1:5" x14ac:dyDescent="0.25">
      <c r="A64" t="str">
        <v>FXE</v>
      </c>
      <c r="B64" t="str">
        <v>Currencies</v>
      </c>
      <c r="C64" t="str">
        <v>EUR</v>
      </c>
      <c r="D64">
        <v>0</v>
      </c>
      <c r="E64" t="str">
        <v>Invesco CurrencyShares Euro Trust</v>
      </c>
    </row>
    <row r="65" spans="1:5" x14ac:dyDescent="0.25">
      <c r="A65" t="str">
        <v>FXF</v>
      </c>
      <c r="B65" t="str">
        <v>Currencies</v>
      </c>
      <c r="C65" t="str">
        <v>EUR</v>
      </c>
      <c r="D65">
        <v>0</v>
      </c>
      <c r="E65" t="str">
        <v>Invesco CurrencyShares Swiss Franc Trust</v>
      </c>
    </row>
    <row r="66" spans="1:5" x14ac:dyDescent="0.25">
      <c r="A66" t="str">
        <v>FXA</v>
      </c>
      <c r="B66" t="str">
        <v>Currencies</v>
      </c>
      <c r="C66" t="str">
        <v>Commod</v>
      </c>
      <c r="D66">
        <v>0</v>
      </c>
      <c r="E66" t="str">
        <v>Invesco CurrencyShares Australian Dollar Trust</v>
      </c>
    </row>
    <row r="67" spans="1:5" x14ac:dyDescent="0.25">
      <c r="A67" t="str">
        <v>FXB</v>
      </c>
      <c r="B67" t="str">
        <v>Currencies</v>
      </c>
      <c r="C67" t="str">
        <v>GBP</v>
      </c>
      <c r="D67">
        <v>0</v>
      </c>
      <c r="E67" t="str">
        <v>Invesco CurrencyShares British Pound Sterling Trust</v>
      </c>
    </row>
    <row r="68" spans="1:5" x14ac:dyDescent="0.25">
      <c r="A68" t="str">
        <v>FXC</v>
      </c>
      <c r="B68" t="str">
        <v>Currencies</v>
      </c>
      <c r="C68" t="str">
        <v>USD</v>
      </c>
      <c r="D68">
        <v>0</v>
      </c>
      <c r="E68" t="str">
        <v>Invesco CurrencyShares Canadian Dollar Trust</v>
      </c>
    </row>
    <row r="69" spans="1:5" x14ac:dyDescent="0.25">
      <c r="A69" t="str">
        <v>FXY</v>
      </c>
      <c r="B69" t="str">
        <v>Currencies</v>
      </c>
      <c r="C69" t="str">
        <v>JPY</v>
      </c>
      <c r="D69">
        <v>0</v>
      </c>
      <c r="E69" t="str">
        <v>Invesco CurrencyShares Japanese Yen Trust</v>
      </c>
    </row>
    <row r="70" spans="1:5" x14ac:dyDescent="0.25">
      <c r="A70" t="str">
        <v>^VIX</v>
      </c>
      <c r="B70" t="str">
        <v>Vol</v>
      </c>
      <c r="C70" t="str">
        <v>USD</v>
      </c>
      <c r="D70">
        <v>0</v>
      </c>
      <c r="E70" t="str">
        <v>CBOE Volatility Index</v>
      </c>
    </row>
    <row r="71" spans="1:5" x14ac:dyDescent="0.25">
      <c r="A71" t="str">
        <v>VXX</v>
      </c>
      <c r="B71" t="str">
        <v>Vol</v>
      </c>
      <c r="C71" t="str">
        <v>USD</v>
      </c>
      <c r="D71">
        <v>0</v>
      </c>
      <c r="E71" t="str">
        <v>VIX Short-Term Futures ETN</v>
      </c>
    </row>
    <row r="72" spans="1:5" x14ac:dyDescent="0.25">
      <c r="A72" t="str">
        <v>^VIX3M</v>
      </c>
      <c r="B72" t="str">
        <v>Vol</v>
      </c>
      <c r="C72" t="str">
        <v>USD</v>
      </c>
      <c r="D72">
        <v>0</v>
      </c>
      <c r="E72" t="str">
        <v>CBOE S&amp;P 500 3-Month Volatility</v>
      </c>
    </row>
    <row r="73" spans="1:5" x14ac:dyDescent="0.25">
      <c r="A73" t="str">
        <v>^MOVE</v>
      </c>
      <c r="B73" t="str">
        <v>Vol</v>
      </c>
      <c r="C73" t="str">
        <v>USD</v>
      </c>
      <c r="D73">
        <v>0</v>
      </c>
      <c r="E73" t="str">
        <v>ICE BofAML MOVE Index</v>
      </c>
    </row>
    <row r="74" spans="1:5" x14ac:dyDescent="0.25">
      <c r="A74" t="str">
        <v>^OVX</v>
      </c>
      <c r="B74" t="str">
        <v>Vol</v>
      </c>
      <c r="C74" t="str">
        <v>USD</v>
      </c>
      <c r="D74">
        <v>0</v>
      </c>
      <c r="E74" t="str">
        <v>CBOE Crude Oil Volatility Index</v>
      </c>
    </row>
    <row r="75" spans="1:5" x14ac:dyDescent="0.25">
      <c r="A75" t="str">
        <v>^GVZ</v>
      </c>
      <c r="B75" t="str">
        <v>Vol</v>
      </c>
      <c r="C75" t="str">
        <v>USD</v>
      </c>
      <c r="D75">
        <v>0</v>
      </c>
      <c r="E75" t="str">
        <v>CBOE Gold Volatility Index</v>
      </c>
    </row>
    <row r="76" spans="1:5" x14ac:dyDescent="0.25">
      <c r="A76" t="str">
        <v>MWTIX</v>
      </c>
      <c r="B76" t="str">
        <v>Portfolio</v>
      </c>
      <c r="C76" t="str">
        <v>USD</v>
      </c>
      <c r="D76">
        <v>1</v>
      </c>
      <c r="E76" t="str">
        <v>TCW MetWest Total Return Bd I</v>
      </c>
    </row>
    <row r="77" spans="1:5" x14ac:dyDescent="0.25">
      <c r="A77" t="str">
        <v>FCNTX</v>
      </c>
      <c r="B77" t="str">
        <v>Portfolio</v>
      </c>
      <c r="C77" t="str">
        <v>USD</v>
      </c>
      <c r="D77">
        <v>0</v>
      </c>
      <c r="E77" t="str">
        <v>Fidelity Contrafund</v>
      </c>
    </row>
    <row r="78" spans="1:5" x14ac:dyDescent="0.25">
      <c r="A78" t="str">
        <v>BTC</v>
      </c>
      <c r="B78" t="str">
        <v>Currencies</v>
      </c>
      <c r="C78" t="str">
        <v>USD</v>
      </c>
      <c r="D78">
        <v>0</v>
      </c>
      <c r="E78" t="str">
        <v>-</v>
      </c>
    </row>
    <row r="79" spans="1:5" x14ac:dyDescent="0.25">
      <c r="A79" t="str">
        <v>BTC_vol</v>
      </c>
      <c r="B79" t="str">
        <v>Vol</v>
      </c>
      <c r="C79" t="str">
        <v>USD</v>
      </c>
      <c r="D79">
        <v>0</v>
      </c>
      <c r="E79" t="str">
        <v>-</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2">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legacy</vt:lpstr>
      <vt:lpstr>gpt</vt:lpstr>
      <vt:lpstr>data_new</vt:lpstr>
      <vt:lpstr>lior</vt:lpstr>
      <vt:lpstr>read_composites</vt:lpstr>
      <vt:lpstr>risk_parity</vt:lpstr>
      <vt:lpstr>tradewar</vt:lpstr>
      <vt:lpstr>tracking</vt:lpstr>
      <vt:lpstr>yf_desc</vt:lpstr>
      <vt:lpstr>election_fact</vt:lpstr>
      <vt:lpstr>composites</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2026-07-02T20:12:14Z</dcterms:modified>
</cp:coreProperties>
</file>